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LICITAÇÃO" sheetId="1" state="visible" r:id="rId4"/>
    <sheet name="VOLUMES" sheetId="2" state="hidden" r:id="rId5"/>
    <sheet name="TRAVAS" sheetId="3" state="hidden" r:id="rId6"/>
    <sheet name="ZONAS-INSTALACOES" sheetId="4" state="hidden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<sst xmlns="http://schemas.openxmlformats.org/spreadsheetml/2006/main" count="357" uniqueCount="190">
  <si>
    <t xml:space="preserve">Dia Operacoinal Inicial</t>
  </si>
  <si>
    <t xml:space="preserve">Ciclo</t>
  </si>
  <si>
    <t xml:space="preserve">Fluxo</t>
  </si>
  <si>
    <t xml:space="preserve">Contrato</t>
  </si>
  <si>
    <t xml:space="preserve">Instalação</t>
  </si>
  <si>
    <t xml:space="preserve">Ponto Zona Contraparte</t>
  </si>
  <si>
    <t xml:space="preserve">Quantidade Diária Nominada</t>
  </si>
  <si>
    <t xml:space="preserve">Desequilíbrio</t>
  </si>
  <si>
    <t xml:space="preserve">Carregador Contraparte</t>
  </si>
  <si>
    <t xml:space="preserve">Carregador</t>
  </si>
  <si>
    <t xml:space="preserve">Diária</t>
  </si>
  <si>
    <t xml:space="preserve">Entrada</t>
  </si>
  <si>
    <t xml:space="preserve">CONTRATO 01 - ENTRADA CORUMBÁ</t>
  </si>
  <si>
    <t xml:space="preserve">EMED CORUMBÁ (ENTRADA)</t>
  </si>
  <si>
    <t xml:space="preserve">SP1</t>
  </si>
  <si>
    <t xml:space="preserve">MS GÁS</t>
  </si>
  <si>
    <t xml:space="preserve">PETROBRÁS</t>
  </si>
  <si>
    <t xml:space="preserve">CONTRATO 02 - SP1</t>
  </si>
  <si>
    <t xml:space="preserve">BILAC</t>
  </si>
  <si>
    <t xml:space="preserve">FECHAMENTO</t>
  </si>
  <si>
    <t xml:space="preserve">=soma(NORMAL!R17:W17)+soma(NORMAL!R19:W19)</t>
  </si>
  <si>
    <t xml:space="preserve">O</t>
  </si>
  <si>
    <t xml:space="preserve">ZONA</t>
  </si>
  <si>
    <t xml:space="preserve">PONTO</t>
  </si>
  <si>
    <t xml:space="preserve">Cor F</t>
  </si>
  <si>
    <t xml:space="preserve">Cor D</t>
  </si>
  <si>
    <t xml:space="preserve">Rep F</t>
  </si>
  <si>
    <t xml:space="preserve">Rep D</t>
  </si>
  <si>
    <t xml:space="preserve">MS1</t>
  </si>
  <si>
    <t xml:space="preserve">GSC</t>
  </si>
  <si>
    <t xml:space="preserve">SP2</t>
  </si>
  <si>
    <t xml:space="preserve">SP3</t>
  </si>
  <si>
    <t xml:space="preserve">SP4</t>
  </si>
  <si>
    <t xml:space="preserve">PR1</t>
  </si>
  <si>
    <t xml:space="preserve">SC1</t>
  </si>
  <si>
    <t xml:space="preserve">SC2</t>
  </si>
  <si>
    <t xml:space="preserve">RS1</t>
  </si>
  <si>
    <t xml:space="preserve">Oferta</t>
  </si>
  <si>
    <t xml:space="preserve">NA_PRMUTUN</t>
  </si>
  <si>
    <t xml:space="preserve">NA_PRUTGCA</t>
  </si>
  <si>
    <t xml:space="preserve">DES - TBG - MUTUN</t>
  </si>
  <si>
    <t xml:space="preserve">Cliente</t>
  </si>
  <si>
    <t xml:space="preserve">COMGAS_40410712</t>
  </si>
  <si>
    <t xml:space="preserve">COMGAS_40971888</t>
  </si>
  <si>
    <t xml:space="preserve">COMPAGAS_40845240</t>
  </si>
  <si>
    <t xml:space="preserve">COMPAGAS_40984591</t>
  </si>
  <si>
    <t xml:space="preserve">GAS BRASILIANO_40480460</t>
  </si>
  <si>
    <t xml:space="preserve">GAS BRASILIANO_40971886</t>
  </si>
  <si>
    <t xml:space="preserve">GASMIG_40961004</t>
  </si>
  <si>
    <t xml:space="preserve">GEMINI_40425551</t>
  </si>
  <si>
    <t xml:space="preserve">MSGAS_40410708</t>
  </si>
  <si>
    <t xml:space="preserve">MSGAS_40809657</t>
  </si>
  <si>
    <t xml:space="preserve">MSGAS_40965014</t>
  </si>
  <si>
    <t xml:space="preserve">REPAR_40419895</t>
  </si>
  <si>
    <t xml:space="preserve">REPAR_40425552</t>
  </si>
  <si>
    <t xml:space="preserve">REPAR_40425556</t>
  </si>
  <si>
    <t xml:space="preserve">REPLAN_40425552</t>
  </si>
  <si>
    <t xml:space="preserve">REPLAN_40425556</t>
  </si>
  <si>
    <t xml:space="preserve">REPLAN_40425557</t>
  </si>
  <si>
    <t xml:space="preserve">SCGAS_40411078</t>
  </si>
  <si>
    <t xml:space="preserve">SCGAS_40980112</t>
  </si>
  <si>
    <t xml:space="preserve">SPSUL_40480461</t>
  </si>
  <si>
    <t xml:space="preserve">SPSUL_40971887</t>
  </si>
  <si>
    <t xml:space="preserve">SULGAS_40410820</t>
  </si>
  <si>
    <t xml:space="preserve">SULGAS_40410823</t>
  </si>
  <si>
    <t xml:space="preserve">SULGAS_40410824</t>
  </si>
  <si>
    <t xml:space="preserve">SULGAS_40465547</t>
  </si>
  <si>
    <t xml:space="preserve">SULGAS_40985116</t>
  </si>
  <si>
    <t xml:space="preserve">UTE ARAUCARIA_40941715</t>
  </si>
  <si>
    <t xml:space="preserve">UTE ARAUCARIA_40976322</t>
  </si>
  <si>
    <t xml:space="preserve">UTE SEPE TIARAJU_40425555</t>
  </si>
  <si>
    <t xml:space="preserve">ZONAS</t>
  </si>
  <si>
    <t xml:space="preserve">CÓDIGO ANP</t>
  </si>
  <si>
    <t xml:space="preserve">INSTALAÇÕES</t>
  </si>
  <si>
    <t xml:space="preserve">CÓDIGO - PONTO</t>
  </si>
  <si>
    <t xml:space="preserve">DSQ</t>
  </si>
  <si>
    <t xml:space="preserve">EMED CORUMBÁ (DUTO)</t>
  </si>
  <si>
    <t xml:space="preserve">90003 - EMED CORUMBÁ (DUTO)</t>
  </si>
  <si>
    <t xml:space="preserve">EMED GASCAR (DUTO)</t>
  </si>
  <si>
    <t xml:space="preserve">90004 - EMED GASCAR (DUTO)</t>
  </si>
  <si>
    <t xml:space="preserve">E1</t>
  </si>
  <si>
    <t xml:space="preserve">EMED CORUMBÁ</t>
  </si>
  <si>
    <t xml:space="preserve">18368 - EMED CORUMBÁ</t>
  </si>
  <si>
    <t xml:space="preserve">E2</t>
  </si>
  <si>
    <t xml:space="preserve">EMED GASCAR (ENTRADA)</t>
  </si>
  <si>
    <t xml:space="preserve">271706 - EMED GASCAR (ENTRADA)</t>
  </si>
  <si>
    <t xml:space="preserve">PVS ENTRADA</t>
  </si>
  <si>
    <t xml:space="preserve">90005 - PVS ENTRADA Paulínia</t>
  </si>
  <si>
    <t xml:space="preserve">PVS SAÍDA</t>
  </si>
  <si>
    <t xml:space="preserve">90002 - PVS SAÍDA Paulínia</t>
  </si>
  <si>
    <t xml:space="preserve">REPLAN</t>
  </si>
  <si>
    <t xml:space="preserve">27006 - REPLAN</t>
  </si>
  <si>
    <t xml:space="preserve">REPAR</t>
  </si>
  <si>
    <t xml:space="preserve">27165 - REPAR</t>
  </si>
  <si>
    <t xml:space="preserve">EG</t>
  </si>
  <si>
    <t xml:space="preserve">EMED GASCAR (SAÍDA)</t>
  </si>
  <si>
    <t xml:space="preserve">275407 - EMED GASCAR (SAÍDA)</t>
  </si>
  <si>
    <t xml:space="preserve">EMED GASPAJ</t>
  </si>
  <si>
    <t xml:space="preserve">275408 - EMED GASPAJ</t>
  </si>
  <si>
    <t xml:space="preserve">EMED GUARAREMA (SAÍDA)</t>
  </si>
  <si>
    <t xml:space="preserve">275406 - EMED GUARAREMA (SAÍDA)</t>
  </si>
  <si>
    <t xml:space="preserve">CORUMBÁ</t>
  </si>
  <si>
    <t xml:space="preserve">19581 - CORUMBÁ</t>
  </si>
  <si>
    <t xml:space="preserve">CAMPO GRANDE</t>
  </si>
  <si>
    <t xml:space="preserve">26983 - CAMPO GRANDE</t>
  </si>
  <si>
    <t xml:space="preserve">TRÊS LAGOAS</t>
  </si>
  <si>
    <t xml:space="preserve">26987 - TRÊS LAGOAS</t>
  </si>
  <si>
    <t xml:space="preserve">TRÊS LAGOAS UFN III</t>
  </si>
  <si>
    <t xml:space="preserve">271704 - TRÊS LAGOAS UFN III</t>
  </si>
  <si>
    <t xml:space="preserve">VALPARAÍSO</t>
  </si>
  <si>
    <t xml:space="preserve">26989 - VALPARAÍSO</t>
  </si>
  <si>
    <t xml:space="preserve">26990 - BILAC</t>
  </si>
  <si>
    <t xml:space="preserve">GUAIÇARA</t>
  </si>
  <si>
    <t xml:space="preserve">26992 - GUAIÇARA</t>
  </si>
  <si>
    <t xml:space="preserve">IACANGA</t>
  </si>
  <si>
    <t xml:space="preserve">26993 - IACANGA</t>
  </si>
  <si>
    <t xml:space="preserve">IBITINGA</t>
  </si>
  <si>
    <t xml:space="preserve">26995 - IBITINGA</t>
  </si>
  <si>
    <t xml:space="preserve">BOA ESPERANÇA DO SUL</t>
  </si>
  <si>
    <t xml:space="preserve">26996 - BOA ESPERANÇA DO SUL</t>
  </si>
  <si>
    <t xml:space="preserve">SÃO CARLOS</t>
  </si>
  <si>
    <t xml:space="preserve">27001 - SÃO CARLOS</t>
  </si>
  <si>
    <t xml:space="preserve">RIO CLARO</t>
  </si>
  <si>
    <t xml:space="preserve">27003 - RIO CLARO</t>
  </si>
  <si>
    <t xml:space="preserve">LIMEIRA</t>
  </si>
  <si>
    <t xml:space="preserve">27004 - LIMEIRA</t>
  </si>
  <si>
    <t xml:space="preserve">AMERICANA</t>
  </si>
  <si>
    <t xml:space="preserve">27005 - AMERICANA</t>
  </si>
  <si>
    <t xml:space="preserve">SUMARÉ</t>
  </si>
  <si>
    <t xml:space="preserve">27147 - SUMARÉ</t>
  </si>
  <si>
    <t xml:space="preserve">JAGUARIÚNA</t>
  </si>
  <si>
    <t xml:space="preserve">27166 - JAGUARIÚNA</t>
  </si>
  <si>
    <t xml:space="preserve">CAMPINAS</t>
  </si>
  <si>
    <t xml:space="preserve">27148 - CAMPINAS</t>
  </si>
  <si>
    <t xml:space="preserve">ITATIBA</t>
  </si>
  <si>
    <t xml:space="preserve">27167 - ITATIBA</t>
  </si>
  <si>
    <t xml:space="preserve">GUARAREMA</t>
  </si>
  <si>
    <t xml:space="preserve">27170 - GUARAREMA</t>
  </si>
  <si>
    <t xml:space="preserve">INDAIATUBA</t>
  </si>
  <si>
    <t xml:space="preserve">27149 - INDAIATUBA</t>
  </si>
  <si>
    <t xml:space="preserve">ITIRAPINA</t>
  </si>
  <si>
    <t xml:space="preserve">271703 - ITIRAPINA</t>
  </si>
  <si>
    <t xml:space="preserve">GEMINI</t>
  </si>
  <si>
    <t xml:space="preserve">27146 - GEMINI</t>
  </si>
  <si>
    <t xml:space="preserve">ITÚ</t>
  </si>
  <si>
    <t xml:space="preserve">27150 - ITÚ</t>
  </si>
  <si>
    <t xml:space="preserve">PORTO FELIZ</t>
  </si>
  <si>
    <t xml:space="preserve">27151 - PORTO FELIZ</t>
  </si>
  <si>
    <t xml:space="preserve">ARAÇOIABA DA SERRA</t>
  </si>
  <si>
    <t xml:space="preserve">27152 - ARAÇOIABA DA SERRA</t>
  </si>
  <si>
    <t xml:space="preserve">ITAPETININGA</t>
  </si>
  <si>
    <t xml:space="preserve">224822 - ITAPETININGA</t>
  </si>
  <si>
    <t xml:space="preserve">CAMPO LARGO</t>
  </si>
  <si>
    <t xml:space="preserve">27161 - CAMPO LARGO</t>
  </si>
  <si>
    <t xml:space="preserve">ARAUCÁRIA</t>
  </si>
  <si>
    <t xml:space="preserve">27162 - ARAUCÁRIA</t>
  </si>
  <si>
    <t xml:space="preserve">ARAUCÁRIA UTE</t>
  </si>
  <si>
    <t xml:space="preserve">27164 - ARAUCÁRIA UTE</t>
  </si>
  <si>
    <t xml:space="preserve">JOINVILLE</t>
  </si>
  <si>
    <t xml:space="preserve">27141 - JOINVILLE</t>
  </si>
  <si>
    <t xml:space="preserve">GUARAMIRIM</t>
  </si>
  <si>
    <t xml:space="preserve">27142 - GUARAMIRIM</t>
  </si>
  <si>
    <t xml:space="preserve">GASPAR</t>
  </si>
  <si>
    <t xml:space="preserve">27143 - GASPAR</t>
  </si>
  <si>
    <t xml:space="preserve">BRUSQUE</t>
  </si>
  <si>
    <t xml:space="preserve">27144 - BRUSQUE</t>
  </si>
  <si>
    <t xml:space="preserve">TIJUCAS</t>
  </si>
  <si>
    <t xml:space="preserve">27145 - TIJUCAS</t>
  </si>
  <si>
    <t xml:space="preserve">SÃO PEDRO DE ALCÂNTARA</t>
  </si>
  <si>
    <t xml:space="preserve">27089 - SÃO PEDRO DE ALCÂNTARA</t>
  </si>
  <si>
    <t xml:space="preserve">TUBARÃO</t>
  </si>
  <si>
    <t xml:space="preserve">27090 - TUBARÃO</t>
  </si>
  <si>
    <t xml:space="preserve">URUSSANGA</t>
  </si>
  <si>
    <t xml:space="preserve">27091 - URUSSANGA</t>
  </si>
  <si>
    <t xml:space="preserve">NOVA VENEZA</t>
  </si>
  <si>
    <t xml:space="preserve">27081 - NOVA VENEZA</t>
  </si>
  <si>
    <t xml:space="preserve">VÁRZEA DO CEDRO</t>
  </si>
  <si>
    <t xml:space="preserve">27082 - VÁRZEA DO CEDRO</t>
  </si>
  <si>
    <t xml:space="preserve">IGREJINHA</t>
  </si>
  <si>
    <t xml:space="preserve">27083 - IGREJINHA</t>
  </si>
  <si>
    <t xml:space="preserve">ARARICÁ</t>
  </si>
  <si>
    <t xml:space="preserve">27084 - ARARICÁ</t>
  </si>
  <si>
    <t xml:space="preserve">CACHOEIRINHA</t>
  </si>
  <si>
    <t xml:space="preserve">27085 - CACHOEIRINHA</t>
  </si>
  <si>
    <t xml:space="preserve">CANOAS</t>
  </si>
  <si>
    <t xml:space="preserve">27088 - CANOAS</t>
  </si>
  <si>
    <t xml:space="preserve">CANOAS UTE</t>
  </si>
  <si>
    <t xml:space="preserve">27086 - CANOAS UTE</t>
  </si>
  <si>
    <t xml:space="preserve">REFAP</t>
  </si>
  <si>
    <t xml:space="preserve">27087 - REFAP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</si>
</sst>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_([$€-2]* #,##0.00_);_([$€-2]* \(#,##0.00\);_([$€-2]* \-??_)"/>
    <numFmt numFmtId="166" formatCode="d/m/yyyy"/>
    <numFmt numFmtId="167" formatCode="dd/mm/yy;@"/>
    <numFmt numFmtId="168" formatCode="#,##0"/>
  </numFmts>
  <fonts count="13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1"/>
      <color rgb="FFFF0000"/>
      <name val="Calibri"/>
      <family val="2"/>
      <charset val="1"/>
    </font>
    <font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name val="Arial"/>
      <family val="2"/>
      <charset val="1"/>
    </font>
    <font>
      <sz val="11"/>
      <color rgb="FF212529"/>
      <name val="Arial"/>
      <family val="2"/>
      <charset val="1"/>
    </font>
    <font>
      <u val="single"/>
      <sz val="11"/>
      <color rgb="FF000000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1"/>
      <color theme="1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2F2F2"/>
      </patternFill>
    </fill>
    <fill>
      <patternFill patternType="solid">
        <fgColor rgb="FF00B0F0"/>
        <bgColor rgb="FF33CCCC"/>
      </patternFill>
    </fill>
    <fill>
      <patternFill patternType="solid">
        <fgColor rgb="FF92D050"/>
        <bgColor rgb="FFC0C0C0"/>
      </patternFill>
    </fill>
    <fill>
      <patternFill patternType="solid">
        <fgColor rgb="FFFF0000"/>
        <bgColor rgb="FF993300"/>
      </patternFill>
    </fill>
    <fill>
      <patternFill patternType="solid">
        <fgColor theme="0" tint="-0.05"/>
        <bgColor rgb="FFFFFFFF"/>
      </patternFill>
    </fill>
  </fills>
  <borders count="1">
    <border diagonalUp="false" diagonalDown="false">
      <left/>
      <right/>
      <top/>
      <bottom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6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7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11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7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À‰_BALANÇO 01_12 a 07_12_trimestre" xfId="21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212529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Tema do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2" activeCellId="0" sqref="H2"/>
    </sheetView>
  </sheetViews>
  <sheetFormatPr defaultColWidth="9.42578125" defaultRowHeight="14.25" zeroHeight="false" outlineLevelRow="0" outlineLevelCol="0"/>
  <cols>
    <col collapsed="false" customWidth="true" hidden="false" outlineLevel="0" max="1" min="1" style="1" width="20.85"/>
    <col collapsed="false" customWidth="true" hidden="false" outlineLevel="0" max="2" min="2" style="2" width="6.29"/>
    <col collapsed="false" customWidth="true" hidden="false" outlineLevel="0" max="3" min="3" style="2" width="8"/>
    <col collapsed="false" customWidth="true" hidden="false" outlineLevel="0" max="4" min="4" style="2" width="34.14"/>
    <col collapsed="false" customWidth="true" hidden="false" outlineLevel="0" max="5" min="5" style="2" width="31.71"/>
    <col collapsed="false" customWidth="true" hidden="false" outlineLevel="0" max="6" min="6" style="3" width="31.71"/>
    <col collapsed="false" customWidth="true" hidden="false" outlineLevel="0" max="7" min="7" style="2" width="27"/>
    <col collapsed="false" customWidth="true" hidden="false" outlineLevel="0" max="8" min="8" style="2" width="12.71"/>
    <col collapsed="false" customWidth="true" hidden="false" outlineLevel="0" max="9" min="9" style="4" width="22.42"/>
    <col collapsed="false" customWidth="true" hidden="false" outlineLevel="0" max="10" min="10" style="4" width="14.42"/>
  </cols>
  <sheetData>
    <row r="1" customFormat="false" ht="14.25" hidden="false" customHeight="false" outlineLevel="0" collapsed="false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5</v>
      </c>
      <c r="G1" s="6" t="s">
        <v>6</v>
      </c>
      <c r="H1" s="6" t="s">
        <v>7</v>
      </c>
      <c r="I1" s="6" t="s">
        <v>8</v>
      </c>
      <c r="J1" s="6" t="s">
        <v>9</v>
      </c>
    </row>
    <row r="2" customFormat="false" ht="14.25" hidden="false" customHeight="false" outlineLevel="0" collapsed="false">
      <c r="A2" s="8" t="n">
        <v>45539</v>
      </c>
      <c r="B2" s="9" t="s">
        <v>10</v>
      </c>
      <c r="C2" s="9" t="s">
        <v>11</v>
      </c>
      <c r="D2" s="9" t="s">
        <v>12</v>
      </c>
      <c r="E2" s="10" t="s">
        <v>13</v>
      </c>
      <c r="F2" s="10" t="s">
        <v>14</v>
      </c>
      <c r="G2" s="9" t="n">
        <v>10</v>
      </c>
      <c r="H2" s="11" t="n">
        <v>0</v>
      </c>
      <c r="I2" s="12" t="s">
        <v>15</v>
      </c>
      <c r="J2" s="12" t="s">
        <v>16</v>
      </c>
    </row>
    <row r="3" customFormat="false" ht="14.25" hidden="false" customHeight="false" outlineLevel="0" collapsed="false">
      <c r="A3" s="8" t="n">
        <v>45539</v>
      </c>
      <c r="B3" s="9" t="s">
        <v>10</v>
      </c>
      <c r="C3" s="9" t="s">
        <v>11</v>
      </c>
      <c r="D3" s="9" t="s">
        <v>17</v>
      </c>
      <c r="E3" s="10" t="s">
        <v>18</v>
      </c>
      <c r="F3" s="10" t="s">
        <v>13</v>
      </c>
      <c r="G3" s="9" t="n">
        <v>20</v>
      </c>
      <c r="H3" s="11" t="n">
        <v>0</v>
      </c>
      <c r="I3" s="12" t="s">
        <v>16</v>
      </c>
      <c r="J3" s="12" t="s">
        <v>15</v>
      </c>
    </row>
    <row r="4" customFormat="false" ht="14.25" hidden="false" customHeight="false" outlineLevel="0" collapsed="false">
      <c r="A4" s="5"/>
      <c r="B4" s="6"/>
      <c r="C4" s="6"/>
      <c r="D4" s="6"/>
      <c r="E4" s="6"/>
      <c r="G4" s="6"/>
      <c r="H4" s="6"/>
      <c r="I4" s="13"/>
      <c r="J4" s="13"/>
    </row>
    <row r="5" customFormat="false" ht="14.25" hidden="false" customHeight="false" outlineLevel="0" collapsed="false">
      <c r="A5" s="5"/>
      <c r="B5" s="6"/>
      <c r="C5" s="6"/>
      <c r="D5" s="6"/>
      <c r="E5" s="6"/>
      <c r="G5" s="6"/>
      <c r="H5" s="6"/>
      <c r="I5" s="13"/>
      <c r="J5" s="13"/>
    </row>
    <row r="6" customFormat="false" ht="14.25" hidden="false" customHeight="false" outlineLevel="0" collapsed="false">
      <c r="A6" s="5"/>
      <c r="B6" s="6"/>
      <c r="C6" s="6"/>
      <c r="D6" s="14"/>
      <c r="E6" s="6"/>
      <c r="G6" s="6"/>
      <c r="H6" s="6"/>
      <c r="I6" s="13"/>
      <c r="J6" s="13"/>
    </row>
    <row r="1048559" customFormat="false" ht="12.75" hidden="false" customHeight="false" outlineLevel="0" collapsed="false"/>
    <row r="1048560" customFormat="false" ht="12.75" hidden="false" customHeight="false" outlineLevel="0" collapsed="false"/>
    <row r="1048561" customFormat="false" ht="12.75" hidden="false" customHeight="false" outlineLevel="0" collapsed="false"/>
    <row r="1048562" customFormat="false" ht="12.75" hidden="false" customHeight="false" outlineLevel="0" collapsed="false"/>
    <row r="1048563" customFormat="false" ht="12.75" hidden="false" customHeight="false" outlineLevel="0" collapsed="false"/>
    <row r="1048564" customFormat="false" ht="12.75" hidden="false" customHeight="false" outlineLevel="0" collapsed="false"/>
    <row r="1048565" customFormat="false" ht="12.75" hidden="false" customHeight="false" outlineLevel="0" collapsed="false"/>
    <row r="1048566" customFormat="false" ht="12.75" hidden="false" customHeight="false" outlineLevel="0" collapsed="false"/>
    <row r="1048567" customFormat="false" ht="12.75" hidden="false" customHeight="false" outlineLevel="0" collapsed="false"/>
    <row r="1048568" customFormat="false" ht="12.75" hidden="false" customHeight="false" outlineLevel="0" collapsed="false"/>
    <row r="1048569" customFormat="false" ht="12.75" hidden="false" customHeight="false" outlineLevel="0" collapsed="false"/>
    <row r="1048570" customFormat="false" ht="12.75" hidden="false" customHeight="false" outlineLevel="0" collapsed="false"/>
    <row r="1048571" customFormat="false" ht="12.75" hidden="false" customHeight="false" outlineLevel="0" collapsed="false"/>
    <row r="1048572" customFormat="false" ht="12.75" hidden="false" customHeight="false" outlineLevel="0" collapsed="false"/>
    <row r="1048573" customFormat="false" ht="12.75" hidden="false" customHeight="false" outlineLevel="0" collapsed="false"/>
    <row r="1048574" customFormat="false" ht="12.75" hidden="false" customHeight="false" outlineLevel="0" collapsed="false"/>
    <row r="1048575" customFormat="false" ht="12.75" hidden="false" customHeight="false" outlineLevel="0" collapsed="false"/>
    <row r="1048576" customFormat="false" ht="12.75" hidden="false" customHeight="false" outlineLevel="0" collapsed="false"/>
  </sheetData>
  <printOptions headings="false" gridLines="false" gridLinesSet="true" horizontalCentered="false" verticalCentered="false"/>
  <pageMargins left="0.511805555555556" right="0.511805555555556" top="0.7875" bottom="0.786805555555556" header="0.315277777777778" footer="0.315277777777778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&amp;R&amp;10 PÚBLICA&amp;1#_x005F_x000D_</oddHeader>
    <oddFooter>&amp;L&amp;1#&amp;"Trebuchet MS,Normal"&amp;9&amp;K737373PÚBLICA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AB297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4" ySplit="2" topLeftCell="E3" activePane="bottomRight" state="frozen"/>
      <selection pane="topLeft" activeCell="A1" activeCellId="0" sqref="A1"/>
      <selection pane="topRight" activeCell="E1" activeCellId="0" sqref="E1"/>
      <selection pane="bottomLeft" activeCell="A3" activeCellId="0" sqref="A3"/>
      <selection pane="bottomRight" activeCell="E3" activeCellId="0" sqref="E3"/>
    </sheetView>
  </sheetViews>
  <sheetFormatPr defaultColWidth="8.71484375" defaultRowHeight="14.25" zeroHeight="false" outlineLevelRow="0" outlineLevelCol="0"/>
  <cols>
    <col collapsed="false" customWidth="true" hidden="false" outlineLevel="0" max="1" min="1" style="4" width="6"/>
    <col collapsed="false" customWidth="true" hidden="false" outlineLevel="0" max="4" min="4" style="4" width="25.57"/>
    <col collapsed="false" customWidth="true" hidden="false" outlineLevel="0" max="7" min="5" style="4" width="9.42"/>
    <col collapsed="false" customWidth="true" hidden="false" outlineLevel="0" max="9" min="8" style="4" width="9.57"/>
    <col collapsed="false" customWidth="true" hidden="false" outlineLevel="0" max="10" min="10" style="4" width="9.42"/>
    <col collapsed="false" customWidth="true" hidden="false" outlineLevel="0" max="13" min="13" style="4" width="15.57"/>
    <col collapsed="false" customWidth="true" hidden="false" outlineLevel="0" max="14" min="14" style="4" width="11.57"/>
    <col collapsed="false" customWidth="true" hidden="false" outlineLevel="0" max="15" min="15" style="4" width="9.57"/>
    <col collapsed="false" customWidth="true" hidden="false" outlineLevel="0" max="21" min="20" style="4" width="9.57"/>
  </cols>
  <sheetData>
    <row r="1" customFormat="false" ht="14.25" hidden="false" customHeight="false" outlineLevel="0" collapsed="false">
      <c r="F1" s="15" t="e">
        <f aca="false">TEXT(#REF!,"dd/mm/aa")&amp;" - I"</f>
        <v>#REF!</v>
      </c>
      <c r="H1" s="15" t="e">
        <f aca="false">#REF!</f>
        <v>#REF!</v>
      </c>
      <c r="I1" s="15"/>
      <c r="L1" s="15" t="e">
        <f aca="false">TEXT(#REF!,"dd/mm/aa")&amp;" - N"</f>
        <v>#REF!</v>
      </c>
      <c r="N1" s="15" t="e">
        <f aca="false">#REF!</f>
        <v>#REF!</v>
      </c>
      <c r="O1" s="15"/>
      <c r="R1" s="15" t="e">
        <f aca="false">TEXT(#REF!,"dd/mm/aa")&amp;" - F"</f>
        <v>#REF!</v>
      </c>
      <c r="T1" s="15" t="e">
        <f aca="false">#REF!</f>
        <v>#REF!</v>
      </c>
      <c r="U1" s="15"/>
      <c r="W1" s="4" t="s">
        <v>19</v>
      </c>
      <c r="Y1" s="4" t="s">
        <v>20</v>
      </c>
    </row>
    <row r="2" customFormat="false" ht="14.25" hidden="false" customHeight="false" outlineLevel="0" collapsed="false">
      <c r="B2" s="4" t="s">
        <v>21</v>
      </c>
      <c r="C2" s="4" t="s">
        <v>22</v>
      </c>
      <c r="D2" s="4" t="s">
        <v>23</v>
      </c>
      <c r="E2" s="16" t="s">
        <v>24</v>
      </c>
      <c r="F2" s="4" t="s">
        <v>25</v>
      </c>
      <c r="G2" s="17" t="s">
        <v>26</v>
      </c>
      <c r="H2" s="4" t="s">
        <v>27</v>
      </c>
      <c r="K2" s="4" t="n">
        <v>1</v>
      </c>
      <c r="L2" s="4" t="n">
        <v>2</v>
      </c>
      <c r="M2" s="4" t="n">
        <v>3</v>
      </c>
      <c r="N2" s="4" t="n">
        <v>4</v>
      </c>
      <c r="Q2" s="4" t="n">
        <v>1</v>
      </c>
      <c r="R2" s="4" t="n">
        <v>2</v>
      </c>
      <c r="S2" s="4" t="n">
        <v>3</v>
      </c>
      <c r="T2" s="4" t="n">
        <v>4</v>
      </c>
      <c r="W2" s="4" t="n">
        <v>15</v>
      </c>
      <c r="X2" s="4" t="n">
        <v>16</v>
      </c>
      <c r="Y2" s="4" t="n">
        <v>17</v>
      </c>
      <c r="Z2" s="4" t="n">
        <v>18</v>
      </c>
      <c r="AA2" s="4" t="n">
        <v>19</v>
      </c>
      <c r="AB2" s="4" t="n">
        <v>20</v>
      </c>
    </row>
    <row r="3" customFormat="false" ht="14.25" hidden="false" customHeight="false" outlineLevel="0" collapsed="false">
      <c r="B3" s="4" t="n">
        <v>1</v>
      </c>
      <c r="C3" s="4" t="s">
        <v>28</v>
      </c>
      <c r="D3" s="4" t="e">
        <f aca="false">#REF!</f>
        <v>#REF!</v>
      </c>
      <c r="E3" s="18" t="e">
        <f aca="false">SUM(#REF!)</f>
        <v>#REF!</v>
      </c>
      <c r="F3" s="18" t="e">
        <f aca="false">SUM(#REF!)</f>
        <v>#REF!</v>
      </c>
      <c r="G3" s="18" t="e">
        <f aca="false">SUM(#REF!)+SUM(#REF!)</f>
        <v>#REF!</v>
      </c>
      <c r="H3" s="19" t="e">
        <f aca="false">SUM(#REF!)+SUM(#REF!)</f>
        <v>#REF!</v>
      </c>
      <c r="I3" s="20" t="e">
        <f aca="false">#REF!</f>
        <v>#REF!</v>
      </c>
      <c r="K3" s="18" t="e">
        <f aca="false">SUM(#REF!)</f>
        <v>#REF!</v>
      </c>
      <c r="L3" s="18" t="e">
        <f aca="false">SUM(#REF!)</f>
        <v>#REF!</v>
      </c>
      <c r="M3" s="18" t="e">
        <f aca="false">SUM(#REF!)+SUM(#REF!)</f>
        <v>#REF!</v>
      </c>
      <c r="N3" s="19" t="e">
        <f aca="false">SUM(#REF!)+SUM(#REF!)</f>
        <v>#REF!</v>
      </c>
      <c r="O3" s="20" t="e">
        <f aca="false">#REF!</f>
        <v>#REF!</v>
      </c>
      <c r="Q3" s="18" t="e">
        <f aca="false">SUM(#REF!)</f>
        <v>#REF!</v>
      </c>
      <c r="R3" s="18" t="e">
        <f aca="false">SUM(#REF!)</f>
        <v>#REF!</v>
      </c>
      <c r="S3" s="18" t="e">
        <f aca="false">SUM(#REF!)+SUM(#REF!)</f>
        <v>#REF!</v>
      </c>
      <c r="T3" s="19" t="e">
        <f aca="false">SUM(#REF!)+SUM(#REF!)</f>
        <v>#REF!</v>
      </c>
      <c r="U3" s="20" t="e">
        <f aca="false">#REF!</f>
        <v>#REF!</v>
      </c>
      <c r="V3" s="4" t="n">
        <v>0</v>
      </c>
      <c r="W3" s="4" t="str">
        <f aca="false">"=soma("&amp;$W$1&amp;"!R"&amp;W$2+$V3&amp;":W"&amp;W$2+$V3&amp;")"</f>
        <v>=soma(FECHAMENTO!R15:W15)</v>
      </c>
      <c r="X3" s="4" t="str">
        <f aca="false">"=soma("&amp;$W$1&amp;"!R"&amp;X$2+$V3&amp;":W"&amp;X$2+$V3&amp;")"</f>
        <v>=soma(FECHAMENTO!R16:W16)</v>
      </c>
      <c r="Y3" s="4" t="str">
        <f aca="false">"=soma("&amp;$W$1&amp;"!R"&amp;Y$2+$V3&amp;":W"&amp;Y$2+$V3&amp;")+soma("&amp;$W$1&amp;"!R"&amp;AA$2+$V3&amp;":W"&amp;AA$2+$V3&amp;")"</f>
        <v>=soma(FECHAMENTO!R17:W17)+soma(FECHAMENTO!R19:W19)</v>
      </c>
      <c r="Z3" s="4" t="str">
        <f aca="false">"=soma("&amp;$W$1&amp;"!R"&amp;Z$2+$V3&amp;":W"&amp;Z$2+$V3&amp;")+soma("&amp;$W$1&amp;"!R"&amp;AB$2+$V3&amp;":W"&amp;AB$2+$V3&amp;")"</f>
        <v>=soma(FECHAMENTO!R18:W18)+soma(FECHAMENTO!R20:W20)</v>
      </c>
      <c r="AA3" s="4" t="str">
        <f aca="false">"="&amp;$W$1&amp;"!P"&amp;W$2+$V3</f>
        <v>=FECHAMENTO!P15</v>
      </c>
    </row>
    <row r="4" customFormat="false" ht="14.25" hidden="false" customHeight="false" outlineLevel="0" collapsed="false">
      <c r="B4" s="4" t="n">
        <v>5</v>
      </c>
      <c r="C4" s="4" t="s">
        <v>28</v>
      </c>
      <c r="D4" s="4" t="e">
        <f aca="false">#REF!</f>
        <v>#REF!</v>
      </c>
      <c r="E4" s="18" t="e">
        <f aca="false">SUM(#REF!)</f>
        <v>#REF!</v>
      </c>
      <c r="F4" s="18" t="e">
        <f aca="false">SUM(#REF!)</f>
        <v>#REF!</v>
      </c>
      <c r="G4" s="18" t="e">
        <f aca="false">SUM(#REF!)+SUM(#REF!)</f>
        <v>#REF!</v>
      </c>
      <c r="H4" s="19" t="e">
        <f aca="false">SUM(#REF!)+SUM(#REF!)</f>
        <v>#REF!</v>
      </c>
      <c r="I4" s="20" t="e">
        <f aca="false">#REF!</f>
        <v>#REF!</v>
      </c>
      <c r="K4" s="18" t="e">
        <f aca="false">SUM(#REF!)</f>
        <v>#REF!</v>
      </c>
      <c r="L4" s="18" t="e">
        <f aca="false">SUM(#REF!)</f>
        <v>#REF!</v>
      </c>
      <c r="M4" s="18" t="e">
        <f aca="false">SUM(#REF!)+SUM(#REF!)</f>
        <v>#REF!</v>
      </c>
      <c r="N4" s="19" t="e">
        <f aca="false">SUM(#REF!)+SUM(#REF!)</f>
        <v>#REF!</v>
      </c>
      <c r="O4" s="20" t="e">
        <f aca="false">#REF!</f>
        <v>#REF!</v>
      </c>
      <c r="Q4" s="18" t="e">
        <f aca="false">SUM(#REF!)</f>
        <v>#REF!</v>
      </c>
      <c r="R4" s="18" t="e">
        <f aca="false">SUM(#REF!)</f>
        <v>#REF!</v>
      </c>
      <c r="S4" s="18" t="e">
        <f aca="false">SUM(#REF!)+SUM(#REF!)</f>
        <v>#REF!</v>
      </c>
      <c r="T4" s="19" t="e">
        <f aca="false">SUM(#REF!)+SUM(#REF!)</f>
        <v>#REF!</v>
      </c>
      <c r="U4" s="20" t="e">
        <f aca="false">#REF!</f>
        <v>#REF!</v>
      </c>
      <c r="V4" s="4" t="n">
        <f aca="false">V3+10</f>
        <v>10</v>
      </c>
    </row>
    <row r="5" customFormat="false" ht="14.25" hidden="false" customHeight="false" outlineLevel="0" collapsed="false">
      <c r="B5" s="4" t="n">
        <v>9</v>
      </c>
      <c r="C5" s="4" t="s">
        <v>28</v>
      </c>
      <c r="D5" s="4" t="e">
        <f aca="false">#REF!</f>
        <v>#REF!</v>
      </c>
      <c r="E5" s="18" t="e">
        <f aca="false">SUM(#REF!)</f>
        <v>#REF!</v>
      </c>
      <c r="F5" s="18" t="e">
        <f aca="false">SUM(#REF!)</f>
        <v>#REF!</v>
      </c>
      <c r="G5" s="18" t="e">
        <f aca="false">SUM(#REF!)+SUM(#REF!)</f>
        <v>#REF!</v>
      </c>
      <c r="H5" s="19" t="e">
        <f aca="false">SUM(#REF!)+SUM(#REF!)</f>
        <v>#REF!</v>
      </c>
      <c r="I5" s="20" t="e">
        <f aca="false">#REF!</f>
        <v>#REF!</v>
      </c>
      <c r="K5" s="18" t="e">
        <f aca="false">SUM(#REF!)</f>
        <v>#REF!</v>
      </c>
      <c r="L5" s="18" t="e">
        <f aca="false">SUM(#REF!)</f>
        <v>#REF!</v>
      </c>
      <c r="M5" s="18" t="e">
        <f aca="false">SUM(#REF!)+SUM(#REF!)</f>
        <v>#REF!</v>
      </c>
      <c r="N5" s="19" t="e">
        <f aca="false">SUM(#REF!)+SUM(#REF!)</f>
        <v>#REF!</v>
      </c>
      <c r="O5" s="20" t="e">
        <f aca="false">#REF!</f>
        <v>#REF!</v>
      </c>
      <c r="Q5" s="18" t="e">
        <f aca="false">SUM(#REF!)</f>
        <v>#REF!</v>
      </c>
      <c r="R5" s="18" t="e">
        <f aca="false">SUM(#REF!)</f>
        <v>#REF!</v>
      </c>
      <c r="S5" s="18" t="e">
        <f aca="false">SUM(#REF!)+SUM(#REF!)</f>
        <v>#REF!</v>
      </c>
      <c r="T5" s="19" t="e">
        <f aca="false">SUM(#REF!)+SUM(#REF!)</f>
        <v>#REF!</v>
      </c>
      <c r="U5" s="20" t="e">
        <f aca="false">#REF!</f>
        <v>#REF!</v>
      </c>
      <c r="V5" s="4" t="n">
        <f aca="false">V4+10</f>
        <v>20</v>
      </c>
    </row>
    <row r="6" customFormat="false" ht="14.25" hidden="false" customHeight="false" outlineLevel="0" collapsed="false">
      <c r="B6" s="4" t="n">
        <v>13</v>
      </c>
      <c r="C6" s="4" t="s">
        <v>28</v>
      </c>
      <c r="D6" s="4" t="e">
        <f aca="false">#REF!</f>
        <v>#REF!</v>
      </c>
      <c r="E6" s="19" t="e">
        <f aca="false">SUM(#REF!)</f>
        <v>#REF!</v>
      </c>
      <c r="F6" s="19" t="e">
        <f aca="false">SUM(#REF!)</f>
        <v>#REF!</v>
      </c>
      <c r="G6" s="19" t="e">
        <f aca="false">SUM(#REF!)+SUM(#REF!)</f>
        <v>#REF!</v>
      </c>
      <c r="H6" s="19" t="e">
        <f aca="false">SUM(#REF!)+SUM(#REF!)</f>
        <v>#REF!</v>
      </c>
      <c r="I6" s="20" t="e">
        <f aca="false">#REF!</f>
        <v>#REF!</v>
      </c>
      <c r="K6" s="19" t="e">
        <f aca="false">SUM(#REF!)</f>
        <v>#REF!</v>
      </c>
      <c r="L6" s="19" t="e">
        <f aca="false">SUM(#REF!)</f>
        <v>#REF!</v>
      </c>
      <c r="M6" s="19" t="e">
        <f aca="false">SUM(#REF!)+SUM(#REF!)</f>
        <v>#REF!</v>
      </c>
      <c r="N6" s="19" t="e">
        <f aca="false">SUM(#REF!)+SUM(#REF!)</f>
        <v>#REF!</v>
      </c>
      <c r="O6" s="20" t="e">
        <f aca="false">#REF!</f>
        <v>#REF!</v>
      </c>
      <c r="Q6" s="19" t="e">
        <f aca="false">SUM(#REF!)</f>
        <v>#REF!</v>
      </c>
      <c r="R6" s="19" t="e">
        <f aca="false">SUM(#REF!)</f>
        <v>#REF!</v>
      </c>
      <c r="S6" s="19" t="e">
        <f aca="false">SUM(#REF!)+SUM(#REF!)</f>
        <v>#REF!</v>
      </c>
      <c r="T6" s="19" t="e">
        <f aca="false">SUM(#REF!)+SUM(#REF!)</f>
        <v>#REF!</v>
      </c>
      <c r="U6" s="20" t="e">
        <f aca="false">#REF!</f>
        <v>#REF!</v>
      </c>
      <c r="V6" s="4" t="n">
        <f aca="false">V5+10</f>
        <v>30</v>
      </c>
    </row>
    <row r="7" customFormat="false" ht="14.25" hidden="false" customHeight="false" outlineLevel="0" collapsed="false">
      <c r="B7" s="4" t="n">
        <v>17</v>
      </c>
      <c r="C7" s="4" t="s">
        <v>14</v>
      </c>
      <c r="D7" s="4" t="e">
        <f aca="false">#REF!</f>
        <v>#REF!</v>
      </c>
      <c r="E7" s="18" t="e">
        <f aca="false">SUM(#REF!)</f>
        <v>#REF!</v>
      </c>
      <c r="F7" s="19" t="e">
        <f aca="false">SUM(#REF!)</f>
        <v>#REF!</v>
      </c>
      <c r="G7" s="18" t="e">
        <f aca="false">SUM(#REF!)+SUM(#REF!)</f>
        <v>#REF!</v>
      </c>
      <c r="H7" s="19" t="e">
        <f aca="false">SUM(#REF!)+SUM(#REF!)</f>
        <v>#REF!</v>
      </c>
      <c r="I7" s="20" t="e">
        <f aca="false">#REF!</f>
        <v>#REF!</v>
      </c>
      <c r="K7" s="18" t="e">
        <f aca="false">SUM(#REF!)</f>
        <v>#REF!</v>
      </c>
      <c r="L7" s="19" t="e">
        <f aca="false">SUM(#REF!)</f>
        <v>#REF!</v>
      </c>
      <c r="M7" s="18" t="e">
        <f aca="false">SUM(#REF!)+SUM(#REF!)</f>
        <v>#REF!</v>
      </c>
      <c r="N7" s="19" t="e">
        <f aca="false">SUM(#REF!)+SUM(#REF!)</f>
        <v>#REF!</v>
      </c>
      <c r="O7" s="20" t="e">
        <f aca="false">#REF!</f>
        <v>#REF!</v>
      </c>
      <c r="Q7" s="18" t="e">
        <f aca="false">SUM(#REF!)</f>
        <v>#REF!</v>
      </c>
      <c r="R7" s="19" t="e">
        <f aca="false">SUM(#REF!)</f>
        <v>#REF!</v>
      </c>
      <c r="S7" s="18" t="e">
        <f aca="false">SUM(#REF!)+SUM(#REF!)</f>
        <v>#REF!</v>
      </c>
      <c r="T7" s="19" t="e">
        <f aca="false">SUM(#REF!)+SUM(#REF!)</f>
        <v>#REF!</v>
      </c>
      <c r="U7" s="20" t="e">
        <f aca="false">#REF!</f>
        <v>#REF!</v>
      </c>
      <c r="V7" s="4" t="n">
        <f aca="false">V6+10</f>
        <v>40</v>
      </c>
    </row>
    <row r="8" customFormat="false" ht="14.25" hidden="false" customHeight="false" outlineLevel="0" collapsed="false">
      <c r="B8" s="4" t="n">
        <v>21</v>
      </c>
      <c r="C8" s="4" t="s">
        <v>14</v>
      </c>
      <c r="D8" s="4" t="e">
        <f aca="false">#REF!</f>
        <v>#REF!</v>
      </c>
      <c r="E8" s="18" t="e">
        <f aca="false">SUM(#REF!)</f>
        <v>#REF!</v>
      </c>
      <c r="F8" s="19" t="e">
        <f aca="false">SUM(#REF!)</f>
        <v>#REF!</v>
      </c>
      <c r="G8" s="18" t="e">
        <f aca="false">SUM(#REF!)+SUM(#REF!)</f>
        <v>#REF!</v>
      </c>
      <c r="H8" s="19" t="e">
        <f aca="false">SUM(#REF!)+SUM(#REF!)</f>
        <v>#REF!</v>
      </c>
      <c r="I8" s="20" t="e">
        <f aca="false">#REF!</f>
        <v>#REF!</v>
      </c>
      <c r="K8" s="18" t="e">
        <f aca="false">SUM(#REF!)</f>
        <v>#REF!</v>
      </c>
      <c r="L8" s="19" t="e">
        <f aca="false">SUM(#REF!)</f>
        <v>#REF!</v>
      </c>
      <c r="M8" s="18" t="e">
        <f aca="false">SUM(#REF!)+SUM(#REF!)</f>
        <v>#REF!</v>
      </c>
      <c r="N8" s="19" t="e">
        <f aca="false">SUM(#REF!)+SUM(#REF!)</f>
        <v>#REF!</v>
      </c>
      <c r="O8" s="20" t="e">
        <f aca="false">#REF!</f>
        <v>#REF!</v>
      </c>
      <c r="Q8" s="18" t="e">
        <f aca="false">SUM(#REF!)</f>
        <v>#REF!</v>
      </c>
      <c r="R8" s="19" t="e">
        <f aca="false">SUM(#REF!)</f>
        <v>#REF!</v>
      </c>
      <c r="S8" s="18" t="e">
        <f aca="false">SUM(#REF!)+SUM(#REF!)</f>
        <v>#REF!</v>
      </c>
      <c r="T8" s="19" t="e">
        <f aca="false">SUM(#REF!)+SUM(#REF!)</f>
        <v>#REF!</v>
      </c>
      <c r="U8" s="20" t="e">
        <f aca="false">#REF!</f>
        <v>#REF!</v>
      </c>
      <c r="V8" s="4" t="n">
        <f aca="false">V7+10</f>
        <v>50</v>
      </c>
    </row>
    <row r="9" customFormat="false" ht="14.25" hidden="false" customHeight="false" outlineLevel="0" collapsed="false">
      <c r="B9" s="4" t="n">
        <v>25</v>
      </c>
      <c r="C9" s="4" t="s">
        <v>14</v>
      </c>
      <c r="D9" s="4" t="e">
        <f aca="false">#REF!</f>
        <v>#REF!</v>
      </c>
      <c r="E9" s="18" t="e">
        <f aca="false">SUM(#REF!)</f>
        <v>#REF!</v>
      </c>
      <c r="F9" s="19" t="e">
        <f aca="false">SUM(#REF!)</f>
        <v>#REF!</v>
      </c>
      <c r="G9" s="18" t="e">
        <f aca="false">SUM(#REF!)+SUM(#REF!)</f>
        <v>#REF!</v>
      </c>
      <c r="H9" s="19" t="e">
        <f aca="false">SUM(#REF!)+SUM(#REF!)</f>
        <v>#REF!</v>
      </c>
      <c r="I9" s="20" t="e">
        <f aca="false">#REF!</f>
        <v>#REF!</v>
      </c>
      <c r="K9" s="18" t="e">
        <f aca="false">SUM(#REF!)</f>
        <v>#REF!</v>
      </c>
      <c r="L9" s="19" t="e">
        <f aca="false">SUM(#REF!)</f>
        <v>#REF!</v>
      </c>
      <c r="M9" s="18" t="e">
        <f aca="false">SUM(#REF!)+SUM(#REF!)</f>
        <v>#REF!</v>
      </c>
      <c r="N9" s="19" t="e">
        <f aca="false">SUM(#REF!)+SUM(#REF!)</f>
        <v>#REF!</v>
      </c>
      <c r="O9" s="20" t="e">
        <f aca="false">#REF!</f>
        <v>#REF!</v>
      </c>
      <c r="Q9" s="18" t="e">
        <f aca="false">SUM(#REF!)</f>
        <v>#REF!</v>
      </c>
      <c r="R9" s="19" t="e">
        <f aca="false">SUM(#REF!)</f>
        <v>#REF!</v>
      </c>
      <c r="S9" s="18" t="e">
        <f aca="false">SUM(#REF!)+SUM(#REF!)</f>
        <v>#REF!</v>
      </c>
      <c r="T9" s="19" t="e">
        <f aca="false">SUM(#REF!)+SUM(#REF!)</f>
        <v>#REF!</v>
      </c>
      <c r="U9" s="20" t="e">
        <f aca="false">#REF!</f>
        <v>#REF!</v>
      </c>
      <c r="V9" s="4" t="n">
        <f aca="false">V8+10</f>
        <v>60</v>
      </c>
    </row>
    <row r="10" customFormat="false" ht="14.25" hidden="false" customHeight="false" outlineLevel="0" collapsed="false">
      <c r="B10" s="4" t="n">
        <v>29</v>
      </c>
      <c r="C10" s="4" t="s">
        <v>14</v>
      </c>
      <c r="D10" s="4" t="e">
        <f aca="false">#REF!</f>
        <v>#REF!</v>
      </c>
      <c r="E10" s="18" t="e">
        <f aca="false">SUM(#REF!)</f>
        <v>#REF!</v>
      </c>
      <c r="F10" s="19" t="e">
        <f aca="false">SUM(#REF!)</f>
        <v>#REF!</v>
      </c>
      <c r="G10" s="18" t="e">
        <f aca="false">SUM(#REF!)+SUM(#REF!)</f>
        <v>#REF!</v>
      </c>
      <c r="H10" s="19" t="e">
        <f aca="false">SUM(#REF!)+SUM(#REF!)</f>
        <v>#REF!</v>
      </c>
      <c r="I10" s="20" t="e">
        <f aca="false">#REF!</f>
        <v>#REF!</v>
      </c>
      <c r="K10" s="18" t="e">
        <f aca="false">SUM(#REF!)</f>
        <v>#REF!</v>
      </c>
      <c r="L10" s="19" t="e">
        <f aca="false">SUM(#REF!)</f>
        <v>#REF!</v>
      </c>
      <c r="M10" s="18" t="e">
        <f aca="false">SUM(#REF!)+SUM(#REF!)</f>
        <v>#REF!</v>
      </c>
      <c r="N10" s="19" t="e">
        <f aca="false">SUM(#REF!)+SUM(#REF!)</f>
        <v>#REF!</v>
      </c>
      <c r="O10" s="20" t="e">
        <f aca="false">#REF!</f>
        <v>#REF!</v>
      </c>
      <c r="Q10" s="18" t="e">
        <f aca="false">SUM(#REF!)</f>
        <v>#REF!</v>
      </c>
      <c r="R10" s="19" t="e">
        <f aca="false">SUM(#REF!)</f>
        <v>#REF!</v>
      </c>
      <c r="S10" s="18" t="e">
        <f aca="false">SUM(#REF!)+SUM(#REF!)</f>
        <v>#REF!</v>
      </c>
      <c r="T10" s="19" t="e">
        <f aca="false">SUM(#REF!)+SUM(#REF!)</f>
        <v>#REF!</v>
      </c>
      <c r="U10" s="20" t="e">
        <f aca="false">#REF!</f>
        <v>#REF!</v>
      </c>
      <c r="V10" s="4" t="n">
        <f aca="false">V9+10</f>
        <v>70</v>
      </c>
    </row>
    <row r="11" customFormat="false" ht="14.25" hidden="false" customHeight="false" outlineLevel="0" collapsed="false">
      <c r="B11" s="4" t="n">
        <v>33</v>
      </c>
      <c r="C11" s="4" t="s">
        <v>14</v>
      </c>
      <c r="D11" s="4" t="e">
        <f aca="false">#REF!</f>
        <v>#REF!</v>
      </c>
      <c r="E11" s="18" t="e">
        <f aca="false">SUM(#REF!)</f>
        <v>#REF!</v>
      </c>
      <c r="F11" s="19" t="e">
        <f aca="false">SUM(#REF!)</f>
        <v>#REF!</v>
      </c>
      <c r="G11" s="18" t="e">
        <f aca="false">SUM(#REF!)+SUM(#REF!)</f>
        <v>#REF!</v>
      </c>
      <c r="H11" s="19" t="e">
        <f aca="false">SUM(#REF!)+SUM(#REF!)</f>
        <v>#REF!</v>
      </c>
      <c r="I11" s="20" t="e">
        <f aca="false">#REF!</f>
        <v>#REF!</v>
      </c>
      <c r="K11" s="18" t="e">
        <f aca="false">SUM(#REF!)</f>
        <v>#REF!</v>
      </c>
      <c r="L11" s="19" t="e">
        <f aca="false">SUM(#REF!)</f>
        <v>#REF!</v>
      </c>
      <c r="M11" s="18" t="e">
        <f aca="false">SUM(#REF!)+SUM(#REF!)</f>
        <v>#REF!</v>
      </c>
      <c r="N11" s="19" t="e">
        <f aca="false">SUM(#REF!)+SUM(#REF!)</f>
        <v>#REF!</v>
      </c>
      <c r="O11" s="20" t="e">
        <f aca="false">#REF!</f>
        <v>#REF!</v>
      </c>
      <c r="Q11" s="18" t="e">
        <f aca="false">SUM(#REF!)</f>
        <v>#REF!</v>
      </c>
      <c r="R11" s="19" t="e">
        <f aca="false">SUM(#REF!)</f>
        <v>#REF!</v>
      </c>
      <c r="S11" s="18" t="e">
        <f aca="false">SUM(#REF!)+SUM(#REF!)</f>
        <v>#REF!</v>
      </c>
      <c r="T11" s="19" t="e">
        <f aca="false">SUM(#REF!)+SUM(#REF!)</f>
        <v>#REF!</v>
      </c>
      <c r="U11" s="20" t="e">
        <f aca="false">#REF!</f>
        <v>#REF!</v>
      </c>
      <c r="V11" s="4" t="n">
        <f aca="false">V10+10</f>
        <v>80</v>
      </c>
    </row>
    <row r="12" customFormat="false" ht="14.25" hidden="false" customHeight="false" outlineLevel="0" collapsed="false">
      <c r="B12" s="4" t="n">
        <v>37</v>
      </c>
      <c r="C12" s="4" t="s">
        <v>14</v>
      </c>
      <c r="D12" s="4" t="e">
        <f aca="false">#REF!</f>
        <v>#REF!</v>
      </c>
      <c r="E12" s="18" t="e">
        <f aca="false">SUM(#REF!)</f>
        <v>#REF!</v>
      </c>
      <c r="F12" s="19" t="e">
        <f aca="false">SUM(#REF!)</f>
        <v>#REF!</v>
      </c>
      <c r="G12" s="18" t="e">
        <f aca="false">SUM(#REF!)+SUM(#REF!)</f>
        <v>#REF!</v>
      </c>
      <c r="H12" s="19" t="e">
        <f aca="false">SUM(#REF!)+SUM(#REF!)</f>
        <v>#REF!</v>
      </c>
      <c r="I12" s="20" t="e">
        <f aca="false">#REF!</f>
        <v>#REF!</v>
      </c>
      <c r="K12" s="18" t="e">
        <f aca="false">SUM(#REF!)</f>
        <v>#REF!</v>
      </c>
      <c r="L12" s="19" t="e">
        <f aca="false">SUM(#REF!)</f>
        <v>#REF!</v>
      </c>
      <c r="M12" s="18" t="e">
        <f aca="false">SUM(#REF!)+SUM(#REF!)</f>
        <v>#REF!</v>
      </c>
      <c r="N12" s="19" t="e">
        <f aca="false">SUM(#REF!)+SUM(#REF!)</f>
        <v>#REF!</v>
      </c>
      <c r="O12" s="20" t="e">
        <f aca="false">#REF!</f>
        <v>#REF!</v>
      </c>
      <c r="Q12" s="18" t="e">
        <f aca="false">SUM(#REF!)</f>
        <v>#REF!</v>
      </c>
      <c r="R12" s="19" t="e">
        <f aca="false">SUM(#REF!)</f>
        <v>#REF!</v>
      </c>
      <c r="S12" s="18" t="e">
        <f aca="false">SUM(#REF!)+SUM(#REF!)</f>
        <v>#REF!</v>
      </c>
      <c r="T12" s="19" t="e">
        <f aca="false">SUM(#REF!)+SUM(#REF!)</f>
        <v>#REF!</v>
      </c>
      <c r="U12" s="20" t="e">
        <f aca="false">#REF!</f>
        <v>#REF!</v>
      </c>
      <c r="V12" s="4" t="n">
        <f aca="false">V11+10</f>
        <v>90</v>
      </c>
    </row>
    <row r="13" customFormat="false" ht="14.25" hidden="false" customHeight="false" outlineLevel="0" collapsed="false">
      <c r="B13" s="4" t="n">
        <v>41</v>
      </c>
      <c r="C13" s="4" t="s">
        <v>14</v>
      </c>
      <c r="D13" s="4" t="e">
        <f aca="false">#REF!</f>
        <v>#REF!</v>
      </c>
      <c r="E13" s="18" t="e">
        <f aca="false">SUM(#REF!)</f>
        <v>#REF!</v>
      </c>
      <c r="F13" s="19" t="e">
        <f aca="false">SUM(#REF!)</f>
        <v>#REF!</v>
      </c>
      <c r="G13" s="18" t="e">
        <f aca="false">SUM(#REF!)+SUM(#REF!)</f>
        <v>#REF!</v>
      </c>
      <c r="H13" s="19" t="e">
        <f aca="false">SUM(#REF!)+SUM(#REF!)</f>
        <v>#REF!</v>
      </c>
      <c r="I13" s="20" t="e">
        <f aca="false">#REF!</f>
        <v>#REF!</v>
      </c>
      <c r="K13" s="18" t="e">
        <f aca="false">SUM(#REF!)</f>
        <v>#REF!</v>
      </c>
      <c r="L13" s="19" t="e">
        <f aca="false">SUM(#REF!)</f>
        <v>#REF!</v>
      </c>
      <c r="M13" s="18" t="e">
        <f aca="false">SUM(#REF!)+SUM(#REF!)</f>
        <v>#REF!</v>
      </c>
      <c r="N13" s="19" t="e">
        <f aca="false">SUM(#REF!)+SUM(#REF!)</f>
        <v>#REF!</v>
      </c>
      <c r="O13" s="20" t="e">
        <f aca="false">#REF!</f>
        <v>#REF!</v>
      </c>
      <c r="Q13" s="18" t="e">
        <f aca="false">SUM(#REF!)</f>
        <v>#REF!</v>
      </c>
      <c r="R13" s="19" t="e">
        <f aca="false">SUM(#REF!)</f>
        <v>#REF!</v>
      </c>
      <c r="S13" s="18" t="e">
        <f aca="false">SUM(#REF!)+SUM(#REF!)</f>
        <v>#REF!</v>
      </c>
      <c r="T13" s="19" t="e">
        <f aca="false">SUM(#REF!)+SUM(#REF!)</f>
        <v>#REF!</v>
      </c>
      <c r="U13" s="20" t="e">
        <f aca="false">#REF!</f>
        <v>#REF!</v>
      </c>
      <c r="V13" s="4" t="n">
        <f aca="false">V12+10</f>
        <v>100</v>
      </c>
    </row>
    <row r="14" customFormat="false" ht="14.25" hidden="false" customHeight="false" outlineLevel="0" collapsed="false">
      <c r="B14" s="4" t="n">
        <v>45</v>
      </c>
      <c r="C14" s="4" t="s">
        <v>29</v>
      </c>
      <c r="D14" s="4" t="e">
        <f aca="false">#REF!</f>
        <v>#REF!</v>
      </c>
      <c r="E14" s="18" t="e">
        <f aca="false">SUM(#REF!)</f>
        <v>#REF!</v>
      </c>
      <c r="F14" s="19" t="e">
        <f aca="false">SUM(#REF!)</f>
        <v>#REF!</v>
      </c>
      <c r="G14" s="18" t="e">
        <f aca="false">SUM(#REF!)+SUM(#REF!)</f>
        <v>#REF!</v>
      </c>
      <c r="H14" s="19" t="e">
        <f aca="false">SUM(#REF!)+SUM(#REF!)</f>
        <v>#REF!</v>
      </c>
      <c r="I14" s="20" t="e">
        <f aca="false">#REF!</f>
        <v>#REF!</v>
      </c>
      <c r="K14" s="18" t="e">
        <f aca="false">SUM(#REF!)</f>
        <v>#REF!</v>
      </c>
      <c r="L14" s="19" t="e">
        <f aca="false">SUM(#REF!)</f>
        <v>#REF!</v>
      </c>
      <c r="M14" s="18" t="e">
        <f aca="false">SUM(#REF!)+SUM(#REF!)</f>
        <v>#REF!</v>
      </c>
      <c r="N14" s="19" t="e">
        <f aca="false">SUM(#REF!)+SUM(#REF!)</f>
        <v>#REF!</v>
      </c>
      <c r="O14" s="20" t="e">
        <f aca="false">#REF!</f>
        <v>#REF!</v>
      </c>
      <c r="Q14" s="18" t="e">
        <f aca="false">SUM(#REF!)</f>
        <v>#REF!</v>
      </c>
      <c r="R14" s="19" t="e">
        <f aca="false">SUM(#REF!)</f>
        <v>#REF!</v>
      </c>
      <c r="S14" s="18" t="e">
        <f aca="false">SUM(#REF!)+SUM(#REF!)</f>
        <v>#REF!</v>
      </c>
      <c r="T14" s="19" t="e">
        <f aca="false">SUM(#REF!)+SUM(#REF!)</f>
        <v>#REF!</v>
      </c>
      <c r="U14" s="20" t="e">
        <f aca="false">#REF!</f>
        <v>#REF!</v>
      </c>
      <c r="V14" s="4" t="n">
        <f aca="false">V13+10</f>
        <v>110</v>
      </c>
    </row>
    <row r="15" customFormat="false" ht="14.25" hidden="false" customHeight="false" outlineLevel="0" collapsed="false">
      <c r="B15" s="4" t="n">
        <v>49</v>
      </c>
      <c r="C15" s="4" t="s">
        <v>30</v>
      </c>
      <c r="D15" s="4" t="e">
        <f aca="false">#REF!</f>
        <v>#REF!</v>
      </c>
      <c r="E15" s="18" t="e">
        <f aca="false">SUM(#REF!)</f>
        <v>#REF!</v>
      </c>
      <c r="F15" s="19" t="e">
        <f aca="false">SUM(#REF!)</f>
        <v>#REF!</v>
      </c>
      <c r="G15" s="18" t="e">
        <f aca="false">SUM(#REF!)+SUM(#REF!)</f>
        <v>#REF!</v>
      </c>
      <c r="H15" s="19" t="e">
        <f aca="false">SUM(#REF!)+SUM(#REF!)</f>
        <v>#REF!</v>
      </c>
      <c r="I15" s="20" t="e">
        <f aca="false">#REF!</f>
        <v>#REF!</v>
      </c>
      <c r="K15" s="18" t="e">
        <f aca="false">SUM(#REF!)</f>
        <v>#REF!</v>
      </c>
      <c r="L15" s="19" t="e">
        <f aca="false">SUM(#REF!)</f>
        <v>#REF!</v>
      </c>
      <c r="M15" s="18" t="e">
        <f aca="false">SUM(#REF!)+SUM(#REF!)</f>
        <v>#REF!</v>
      </c>
      <c r="N15" s="19" t="e">
        <f aca="false">SUM(#REF!)+SUM(#REF!)</f>
        <v>#REF!</v>
      </c>
      <c r="O15" s="20" t="e">
        <f aca="false">#REF!</f>
        <v>#REF!</v>
      </c>
      <c r="Q15" s="18" t="e">
        <f aca="false">SUM(#REF!)</f>
        <v>#REF!</v>
      </c>
      <c r="R15" s="19" t="e">
        <f aca="false">SUM(#REF!)</f>
        <v>#REF!</v>
      </c>
      <c r="S15" s="18" t="e">
        <f aca="false">SUM(#REF!)+SUM(#REF!)</f>
        <v>#REF!</v>
      </c>
      <c r="T15" s="19" t="e">
        <f aca="false">SUM(#REF!)+SUM(#REF!)</f>
        <v>#REF!</v>
      </c>
      <c r="U15" s="20" t="e">
        <f aca="false">#REF!</f>
        <v>#REF!</v>
      </c>
      <c r="V15" s="4" t="n">
        <f aca="false">V14+10</f>
        <v>120</v>
      </c>
    </row>
    <row r="16" customFormat="false" ht="14.25" hidden="false" customHeight="false" outlineLevel="0" collapsed="false">
      <c r="B16" s="4" t="n">
        <v>53</v>
      </c>
      <c r="C16" s="4" t="s">
        <v>30</v>
      </c>
      <c r="D16" s="4" t="e">
        <f aca="false">#REF!</f>
        <v>#REF!</v>
      </c>
      <c r="E16" s="18" t="e">
        <f aca="false">SUM(#REF!)</f>
        <v>#REF!</v>
      </c>
      <c r="F16" s="19" t="e">
        <f aca="false">SUM(#REF!)</f>
        <v>#REF!</v>
      </c>
      <c r="G16" s="18" t="e">
        <f aca="false">SUM(#REF!)+SUM(#REF!)</f>
        <v>#REF!</v>
      </c>
      <c r="H16" s="19" t="e">
        <f aca="false">SUM(#REF!)+SUM(#REF!)</f>
        <v>#REF!</v>
      </c>
      <c r="I16" s="20" t="e">
        <f aca="false">#REF!</f>
        <v>#REF!</v>
      </c>
      <c r="K16" s="18" t="e">
        <f aca="false">SUM(#REF!)</f>
        <v>#REF!</v>
      </c>
      <c r="L16" s="19" t="e">
        <f aca="false">SUM(#REF!)</f>
        <v>#REF!</v>
      </c>
      <c r="M16" s="18" t="e">
        <f aca="false">SUM(#REF!)+SUM(#REF!)</f>
        <v>#REF!</v>
      </c>
      <c r="N16" s="19" t="e">
        <f aca="false">SUM(#REF!)+SUM(#REF!)</f>
        <v>#REF!</v>
      </c>
      <c r="O16" s="20" t="e">
        <f aca="false">#REF!</f>
        <v>#REF!</v>
      </c>
      <c r="Q16" s="18" t="e">
        <f aca="false">SUM(#REF!)</f>
        <v>#REF!</v>
      </c>
      <c r="R16" s="19" t="e">
        <f aca="false">SUM(#REF!)</f>
        <v>#REF!</v>
      </c>
      <c r="S16" s="18" t="e">
        <f aca="false">SUM(#REF!)+SUM(#REF!)</f>
        <v>#REF!</v>
      </c>
      <c r="T16" s="19" t="e">
        <f aca="false">SUM(#REF!)+SUM(#REF!)</f>
        <v>#REF!</v>
      </c>
      <c r="U16" s="20" t="e">
        <f aca="false">#REF!</f>
        <v>#REF!</v>
      </c>
      <c r="V16" s="4" t="n">
        <f aca="false">V15+10</f>
        <v>130</v>
      </c>
    </row>
    <row r="17" customFormat="false" ht="14.25" hidden="false" customHeight="false" outlineLevel="0" collapsed="false">
      <c r="B17" s="4" t="n">
        <v>57</v>
      </c>
      <c r="C17" s="4" t="s">
        <v>30</v>
      </c>
      <c r="D17" s="4" t="e">
        <f aca="false">#REF!</f>
        <v>#REF!</v>
      </c>
      <c r="E17" s="18" t="e">
        <f aca="false">SUM(#REF!)</f>
        <v>#REF!</v>
      </c>
      <c r="F17" s="19" t="e">
        <f aca="false">SUM(#REF!)</f>
        <v>#REF!</v>
      </c>
      <c r="G17" s="18" t="e">
        <f aca="false">SUM(#REF!)+SUM(#REF!)</f>
        <v>#REF!</v>
      </c>
      <c r="H17" s="19" t="e">
        <f aca="false">SUM(#REF!)+SUM(#REF!)</f>
        <v>#REF!</v>
      </c>
      <c r="I17" s="20" t="e">
        <f aca="false">#REF!</f>
        <v>#REF!</v>
      </c>
      <c r="K17" s="18" t="e">
        <f aca="false">SUM(#REF!)</f>
        <v>#REF!</v>
      </c>
      <c r="L17" s="19" t="e">
        <f aca="false">SUM(#REF!)</f>
        <v>#REF!</v>
      </c>
      <c r="M17" s="18" t="e">
        <f aca="false">SUM(#REF!)+SUM(#REF!)</f>
        <v>#REF!</v>
      </c>
      <c r="N17" s="19" t="e">
        <f aca="false">SUM(#REF!)+SUM(#REF!)</f>
        <v>#REF!</v>
      </c>
      <c r="O17" s="20" t="e">
        <f aca="false">#REF!</f>
        <v>#REF!</v>
      </c>
      <c r="Q17" s="18" t="e">
        <f aca="false">SUM(#REF!)</f>
        <v>#REF!</v>
      </c>
      <c r="R17" s="19" t="e">
        <f aca="false">SUM(#REF!)</f>
        <v>#REF!</v>
      </c>
      <c r="S17" s="18" t="e">
        <f aca="false">SUM(#REF!)+SUM(#REF!)</f>
        <v>#REF!</v>
      </c>
      <c r="T17" s="19" t="e">
        <f aca="false">SUM(#REF!)+SUM(#REF!)</f>
        <v>#REF!</v>
      </c>
      <c r="U17" s="20" t="e">
        <f aca="false">#REF!</f>
        <v>#REF!</v>
      </c>
      <c r="V17" s="4" t="n">
        <f aca="false">V16+10</f>
        <v>140</v>
      </c>
    </row>
    <row r="18" customFormat="false" ht="14.25" hidden="false" customHeight="false" outlineLevel="0" collapsed="false">
      <c r="B18" s="4" t="n">
        <v>61</v>
      </c>
      <c r="C18" s="4" t="s">
        <v>30</v>
      </c>
      <c r="D18" s="4" t="e">
        <f aca="false">#REF!</f>
        <v>#REF!</v>
      </c>
      <c r="E18" s="18" t="e">
        <f aca="false">SUM(#REF!)</f>
        <v>#REF!</v>
      </c>
      <c r="F18" s="18" t="e">
        <f aca="false">SUM(#REF!)</f>
        <v>#REF!</v>
      </c>
      <c r="G18" s="18" t="e">
        <f aca="false">SUM(#REF!)+SUM(#REF!)</f>
        <v>#REF!</v>
      </c>
      <c r="H18" s="19" t="e">
        <f aca="false">SUM(#REF!)+SUM(#REF!)</f>
        <v>#REF!</v>
      </c>
      <c r="I18" s="20" t="e">
        <f aca="false">#REF!</f>
        <v>#REF!</v>
      </c>
      <c r="K18" s="18" t="e">
        <f aca="false">SUM(#REF!)</f>
        <v>#REF!</v>
      </c>
      <c r="L18" s="18" t="e">
        <f aca="false">SUM(#REF!)</f>
        <v>#REF!</v>
      </c>
      <c r="M18" s="18" t="e">
        <f aca="false">SUM(#REF!)+SUM(#REF!)</f>
        <v>#REF!</v>
      </c>
      <c r="N18" s="19" t="e">
        <f aca="false">SUM(#REF!)+SUM(#REF!)</f>
        <v>#REF!</v>
      </c>
      <c r="O18" s="20" t="e">
        <f aca="false">#REF!</f>
        <v>#REF!</v>
      </c>
      <c r="Q18" s="18" t="e">
        <f aca="false">SUM(#REF!)</f>
        <v>#REF!</v>
      </c>
      <c r="R18" s="18" t="e">
        <f aca="false">SUM(#REF!)</f>
        <v>#REF!</v>
      </c>
      <c r="S18" s="18" t="e">
        <f aca="false">SUM(#REF!)+SUM(#REF!)</f>
        <v>#REF!</v>
      </c>
      <c r="T18" s="19" t="e">
        <f aca="false">SUM(#REF!)+SUM(#REF!)</f>
        <v>#REF!</v>
      </c>
      <c r="U18" s="20" t="e">
        <f aca="false">#REF!</f>
        <v>#REF!</v>
      </c>
      <c r="V18" s="4" t="n">
        <f aca="false">V17+10</f>
        <v>150</v>
      </c>
    </row>
    <row r="19" customFormat="false" ht="14.25" hidden="false" customHeight="false" outlineLevel="0" collapsed="false">
      <c r="B19" s="4" t="n">
        <v>65</v>
      </c>
      <c r="C19" s="4" t="s">
        <v>30</v>
      </c>
      <c r="D19" s="4" t="e">
        <f aca="false">#REF!</f>
        <v>#REF!</v>
      </c>
      <c r="E19" s="21" t="e">
        <f aca="false">SUM(#REF!)</f>
        <v>#REF!</v>
      </c>
      <c r="F19" s="21" t="e">
        <f aca="false">SUM(#REF!)</f>
        <v>#REF!</v>
      </c>
      <c r="G19" s="21" t="e">
        <f aca="false">SUM(#REF!)+SUM(#REF!)</f>
        <v>#REF!</v>
      </c>
      <c r="H19" s="21" t="e">
        <f aca="false">SUM(#REF!)+SUM(#REF!)</f>
        <v>#REF!</v>
      </c>
      <c r="I19" s="20" t="e">
        <f aca="false">#REF!</f>
        <v>#REF!</v>
      </c>
      <c r="K19" s="21" t="e">
        <f aca="false">SUM(#REF!)</f>
        <v>#REF!</v>
      </c>
      <c r="L19" s="21" t="e">
        <f aca="false">SUM(#REF!)</f>
        <v>#REF!</v>
      </c>
      <c r="M19" s="21" t="e">
        <f aca="false">SUM(#REF!)+SUM(#REF!)</f>
        <v>#REF!</v>
      </c>
      <c r="N19" s="21" t="e">
        <f aca="false">SUM(#REF!)+SUM(#REF!)</f>
        <v>#REF!</v>
      </c>
      <c r="O19" s="20" t="e">
        <f aca="false">#REF!</f>
        <v>#REF!</v>
      </c>
      <c r="Q19" s="21" t="e">
        <f aca="false">SUM(#REF!)</f>
        <v>#REF!</v>
      </c>
      <c r="R19" s="21" t="e">
        <f aca="false">SUM(#REF!)</f>
        <v>#REF!</v>
      </c>
      <c r="S19" s="21" t="e">
        <f aca="false">SUM(#REF!)+SUM(#REF!)</f>
        <v>#REF!</v>
      </c>
      <c r="T19" s="21" t="e">
        <f aca="false">SUM(#REF!)+SUM(#REF!)</f>
        <v>#REF!</v>
      </c>
      <c r="U19" s="20" t="e">
        <f aca="false">#REF!</f>
        <v>#REF!</v>
      </c>
      <c r="V19" s="4" t="n">
        <f aca="false">V18+10</f>
        <v>160</v>
      </c>
      <c r="AB19" s="18"/>
    </row>
    <row r="20" customFormat="false" ht="14.25" hidden="false" customHeight="false" outlineLevel="0" collapsed="false">
      <c r="B20" s="4" t="n">
        <v>69</v>
      </c>
      <c r="C20" s="4" t="s">
        <v>30</v>
      </c>
      <c r="D20" s="4" t="e">
        <f aca="false">#REF!</f>
        <v>#REF!</v>
      </c>
      <c r="E20" s="18" t="e">
        <f aca="false">SUM(#REF!)</f>
        <v>#REF!</v>
      </c>
      <c r="F20" s="19" t="e">
        <f aca="false">SUM(#REF!)</f>
        <v>#REF!</v>
      </c>
      <c r="G20" s="19" t="e">
        <f aca="false">SUM(#REF!)+SUM(#REF!)</f>
        <v>#REF!</v>
      </c>
      <c r="H20" s="19" t="e">
        <f aca="false">SUM(#REF!)+SUM(#REF!)</f>
        <v>#REF!</v>
      </c>
      <c r="I20" s="20" t="e">
        <f aca="false">#REF!</f>
        <v>#REF!</v>
      </c>
      <c r="K20" s="18" t="e">
        <f aca="false">SUM(#REF!)</f>
        <v>#REF!</v>
      </c>
      <c r="L20" s="19" t="e">
        <f aca="false">SUM(#REF!)</f>
        <v>#REF!</v>
      </c>
      <c r="M20" s="19" t="e">
        <f aca="false">SUM(#REF!)+SUM(#REF!)</f>
        <v>#REF!</v>
      </c>
      <c r="N20" s="19" t="e">
        <f aca="false">SUM(#REF!)+SUM(#REF!)</f>
        <v>#REF!</v>
      </c>
      <c r="O20" s="20" t="e">
        <f aca="false">#REF!</f>
        <v>#REF!</v>
      </c>
      <c r="Q20" s="18" t="e">
        <f aca="false">SUM(#REF!)</f>
        <v>#REF!</v>
      </c>
      <c r="R20" s="19" t="e">
        <f aca="false">SUM(#REF!)</f>
        <v>#REF!</v>
      </c>
      <c r="S20" s="19" t="e">
        <f aca="false">SUM(#REF!)+SUM(#REF!)</f>
        <v>#REF!</v>
      </c>
      <c r="T20" s="19" t="e">
        <f aca="false">SUM(#REF!)+SUM(#REF!)</f>
        <v>#REF!</v>
      </c>
      <c r="U20" s="20" t="e">
        <f aca="false">#REF!</f>
        <v>#REF!</v>
      </c>
      <c r="V20" s="4" t="n">
        <f aca="false">V19+10</f>
        <v>170</v>
      </c>
      <c r="AB20" s="18"/>
    </row>
    <row r="21" customFormat="false" ht="14.25" hidden="false" customHeight="false" outlineLevel="0" collapsed="false">
      <c r="B21" s="4" t="n">
        <v>73</v>
      </c>
      <c r="C21" s="4" t="s">
        <v>30</v>
      </c>
      <c r="D21" s="4" t="e">
        <f aca="false">#REF!</f>
        <v>#REF!</v>
      </c>
      <c r="E21" s="18" t="e">
        <f aca="false">SUM(#REF!)</f>
        <v>#REF!</v>
      </c>
      <c r="F21" s="19" t="e">
        <f aca="false">SUM(#REF!)</f>
        <v>#REF!</v>
      </c>
      <c r="G21" s="18" t="e">
        <f aca="false">SUM(#REF!)+SUM(#REF!)</f>
        <v>#REF!</v>
      </c>
      <c r="H21" s="19" t="e">
        <f aca="false">SUM(#REF!)+SUM(#REF!)</f>
        <v>#REF!</v>
      </c>
      <c r="I21" s="20" t="e">
        <f aca="false">#REF!</f>
        <v>#REF!</v>
      </c>
      <c r="K21" s="18" t="e">
        <f aca="false">SUM(#REF!)</f>
        <v>#REF!</v>
      </c>
      <c r="L21" s="19" t="e">
        <f aca="false">SUM(#REF!)</f>
        <v>#REF!</v>
      </c>
      <c r="M21" s="18" t="e">
        <f aca="false">SUM(#REF!)+SUM(#REF!)</f>
        <v>#REF!</v>
      </c>
      <c r="N21" s="19" t="e">
        <f aca="false">SUM(#REF!)+SUM(#REF!)</f>
        <v>#REF!</v>
      </c>
      <c r="O21" s="20" t="e">
        <f aca="false">#REF!</f>
        <v>#REF!</v>
      </c>
      <c r="Q21" s="18" t="e">
        <f aca="false">SUM(#REF!)</f>
        <v>#REF!</v>
      </c>
      <c r="R21" s="19" t="e">
        <f aca="false">SUM(#REF!)</f>
        <v>#REF!</v>
      </c>
      <c r="S21" s="18" t="e">
        <f aca="false">SUM(#REF!)+SUM(#REF!)</f>
        <v>#REF!</v>
      </c>
      <c r="T21" s="19" t="e">
        <f aca="false">SUM(#REF!)+SUM(#REF!)</f>
        <v>#REF!</v>
      </c>
      <c r="U21" s="20" t="e">
        <f aca="false">#REF!</f>
        <v>#REF!</v>
      </c>
      <c r="V21" s="4" t="n">
        <f aca="false">V20+10</f>
        <v>180</v>
      </c>
      <c r="AB21" s="18"/>
    </row>
    <row r="22" customFormat="false" ht="14.25" hidden="false" customHeight="false" outlineLevel="0" collapsed="false">
      <c r="B22" s="4" t="n">
        <v>77</v>
      </c>
      <c r="C22" s="4" t="s">
        <v>30</v>
      </c>
      <c r="D22" s="4" t="e">
        <f aca="false">#REF!</f>
        <v>#REF!</v>
      </c>
      <c r="E22" s="18" t="e">
        <f aca="false">SUM(#REF!)</f>
        <v>#REF!</v>
      </c>
      <c r="F22" s="19" t="e">
        <f aca="false">SUM(#REF!)</f>
        <v>#REF!</v>
      </c>
      <c r="G22" s="18" t="e">
        <f aca="false">SUM(#REF!)+SUM(#REF!)</f>
        <v>#REF!</v>
      </c>
      <c r="H22" s="19" t="e">
        <f aca="false">SUM(#REF!)+SUM(#REF!)</f>
        <v>#REF!</v>
      </c>
      <c r="I22" s="20" t="e">
        <f aca="false">#REF!</f>
        <v>#REF!</v>
      </c>
      <c r="K22" s="18" t="e">
        <f aca="false">SUM(#REF!)</f>
        <v>#REF!</v>
      </c>
      <c r="L22" s="19" t="e">
        <f aca="false">SUM(#REF!)</f>
        <v>#REF!</v>
      </c>
      <c r="M22" s="18" t="e">
        <f aca="false">SUM(#REF!)+SUM(#REF!)</f>
        <v>#REF!</v>
      </c>
      <c r="N22" s="19" t="e">
        <f aca="false">SUM(#REF!)+SUM(#REF!)</f>
        <v>#REF!</v>
      </c>
      <c r="O22" s="20" t="e">
        <f aca="false">#REF!</f>
        <v>#REF!</v>
      </c>
      <c r="Q22" s="18" t="e">
        <f aca="false">SUM(#REF!)</f>
        <v>#REF!</v>
      </c>
      <c r="R22" s="19" t="e">
        <f aca="false">SUM(#REF!)</f>
        <v>#REF!</v>
      </c>
      <c r="S22" s="18" t="e">
        <f aca="false">SUM(#REF!)+SUM(#REF!)</f>
        <v>#REF!</v>
      </c>
      <c r="T22" s="19" t="e">
        <f aca="false">SUM(#REF!)+SUM(#REF!)</f>
        <v>#REF!</v>
      </c>
      <c r="U22" s="20" t="e">
        <f aca="false">#REF!</f>
        <v>#REF!</v>
      </c>
      <c r="V22" s="4" t="n">
        <f aca="false">V21+10</f>
        <v>190</v>
      </c>
    </row>
    <row r="23" customFormat="false" ht="14.25" hidden="false" customHeight="false" outlineLevel="0" collapsed="false">
      <c r="B23" s="4" t="n">
        <v>81</v>
      </c>
      <c r="C23" s="4" t="s">
        <v>30</v>
      </c>
      <c r="D23" s="4" t="e">
        <f aca="false">#REF!</f>
        <v>#REF!</v>
      </c>
      <c r="E23" s="18" t="e">
        <f aca="false">SUM(#REF!)</f>
        <v>#REF!</v>
      </c>
      <c r="F23" s="19" t="e">
        <f aca="false">SUM(#REF!)</f>
        <v>#REF!</v>
      </c>
      <c r="G23" s="18" t="e">
        <f aca="false">SUM(#REF!)+SUM(#REF!)</f>
        <v>#REF!</v>
      </c>
      <c r="H23" s="19" t="e">
        <f aca="false">SUM(#REF!)+SUM(#REF!)</f>
        <v>#REF!</v>
      </c>
      <c r="I23" s="20" t="e">
        <f aca="false">#REF!</f>
        <v>#REF!</v>
      </c>
      <c r="K23" s="18" t="e">
        <f aca="false">SUM(#REF!)</f>
        <v>#REF!</v>
      </c>
      <c r="L23" s="19" t="e">
        <f aca="false">SUM(#REF!)</f>
        <v>#REF!</v>
      </c>
      <c r="M23" s="18" t="e">
        <f aca="false">SUM(#REF!)+SUM(#REF!)</f>
        <v>#REF!</v>
      </c>
      <c r="N23" s="19" t="e">
        <f aca="false">SUM(#REF!)+SUM(#REF!)</f>
        <v>#REF!</v>
      </c>
      <c r="O23" s="20" t="e">
        <f aca="false">#REF!</f>
        <v>#REF!</v>
      </c>
      <c r="Q23" s="18" t="e">
        <f aca="false">SUM(#REF!)</f>
        <v>#REF!</v>
      </c>
      <c r="R23" s="19" t="e">
        <f aca="false">SUM(#REF!)</f>
        <v>#REF!</v>
      </c>
      <c r="S23" s="18" t="e">
        <f aca="false">SUM(#REF!)+SUM(#REF!)</f>
        <v>#REF!</v>
      </c>
      <c r="T23" s="19" t="e">
        <f aca="false">SUM(#REF!)+SUM(#REF!)</f>
        <v>#REF!</v>
      </c>
      <c r="U23" s="20" t="e">
        <f aca="false">#REF!</f>
        <v>#REF!</v>
      </c>
      <c r="V23" s="4" t="n">
        <f aca="false">V22+10</f>
        <v>200</v>
      </c>
    </row>
    <row r="24" customFormat="false" ht="14.25" hidden="false" customHeight="false" outlineLevel="0" collapsed="false">
      <c r="B24" s="4" t="n">
        <v>85</v>
      </c>
      <c r="C24" s="4" t="s">
        <v>30</v>
      </c>
      <c r="D24" s="4" t="e">
        <f aca="false">#REF!</f>
        <v>#REF!</v>
      </c>
      <c r="E24" s="21" t="e">
        <f aca="false">SUM(#REF!)</f>
        <v>#REF!</v>
      </c>
      <c r="F24" s="21" t="e">
        <f aca="false">SUM(#REF!)</f>
        <v>#REF!</v>
      </c>
      <c r="G24" s="21" t="e">
        <f aca="false">SUM(#REF!)+SUM(#REF!)</f>
        <v>#REF!</v>
      </c>
      <c r="H24" s="21" t="e">
        <f aca="false">SUM(#REF!)+SUM(#REF!)</f>
        <v>#REF!</v>
      </c>
      <c r="I24" s="20" t="e">
        <f aca="false">#REF!</f>
        <v>#REF!</v>
      </c>
      <c r="K24" s="21" t="e">
        <f aca="false">SUM(#REF!)</f>
        <v>#REF!</v>
      </c>
      <c r="L24" s="21" t="e">
        <f aca="false">SUM(#REF!)</f>
        <v>#REF!</v>
      </c>
      <c r="M24" s="21" t="e">
        <f aca="false">SUM(#REF!)+SUM(#REF!)</f>
        <v>#REF!</v>
      </c>
      <c r="N24" s="21" t="e">
        <f aca="false">SUM(#REF!)+SUM(#REF!)</f>
        <v>#REF!</v>
      </c>
      <c r="O24" s="20" t="e">
        <f aca="false">#REF!</f>
        <v>#REF!</v>
      </c>
      <c r="Q24" s="21" t="e">
        <f aca="false">SUM(#REF!)</f>
        <v>#REF!</v>
      </c>
      <c r="R24" s="21" t="e">
        <f aca="false">SUM(#REF!)</f>
        <v>#REF!</v>
      </c>
      <c r="S24" s="21" t="e">
        <f aca="false">SUM(#REF!)+SUM(#REF!)</f>
        <v>#REF!</v>
      </c>
      <c r="T24" s="21" t="e">
        <f aca="false">SUM(#REF!)+SUM(#REF!)</f>
        <v>#REF!</v>
      </c>
      <c r="U24" s="20" t="e">
        <f aca="false">#REF!</f>
        <v>#REF!</v>
      </c>
      <c r="V24" s="4" t="n">
        <f aca="false">V23+10</f>
        <v>210</v>
      </c>
    </row>
    <row r="25" customFormat="false" ht="14.25" hidden="false" customHeight="false" outlineLevel="0" collapsed="false">
      <c r="B25" s="4" t="n">
        <v>89</v>
      </c>
      <c r="C25" s="4" t="s">
        <v>31</v>
      </c>
      <c r="D25" s="4" t="e">
        <f aca="false">#REF!</f>
        <v>#REF!</v>
      </c>
      <c r="E25" s="18" t="e">
        <f aca="false">SUM(#REF!)</f>
        <v>#REF!</v>
      </c>
      <c r="F25" s="19" t="e">
        <f aca="false">SUM(#REF!)</f>
        <v>#REF!</v>
      </c>
      <c r="G25" s="19" t="e">
        <f aca="false">SUM(#REF!)+SUM(#REF!)</f>
        <v>#REF!</v>
      </c>
      <c r="H25" s="19" t="e">
        <f aca="false">SUM(#REF!)+SUM(#REF!)</f>
        <v>#REF!</v>
      </c>
      <c r="I25" s="20" t="e">
        <f aca="false">#REF!</f>
        <v>#REF!</v>
      </c>
      <c r="K25" s="18" t="e">
        <f aca="false">SUM(#REF!)</f>
        <v>#REF!</v>
      </c>
      <c r="L25" s="19" t="e">
        <f aca="false">SUM(#REF!)</f>
        <v>#REF!</v>
      </c>
      <c r="M25" s="19" t="e">
        <f aca="false">SUM(#REF!)+SUM(#REF!)</f>
        <v>#REF!</v>
      </c>
      <c r="N25" s="19" t="e">
        <f aca="false">SUM(#REF!)+SUM(#REF!)</f>
        <v>#REF!</v>
      </c>
      <c r="O25" s="20" t="e">
        <f aca="false">#REF!</f>
        <v>#REF!</v>
      </c>
      <c r="Q25" s="18" t="e">
        <f aca="false">SUM(#REF!)</f>
        <v>#REF!</v>
      </c>
      <c r="R25" s="19" t="e">
        <f aca="false">SUM(#REF!)</f>
        <v>#REF!</v>
      </c>
      <c r="S25" s="19" t="e">
        <f aca="false">SUM(#REF!)+SUM(#REF!)</f>
        <v>#REF!</v>
      </c>
      <c r="T25" s="19" t="e">
        <f aca="false">SUM(#REF!)+SUM(#REF!)</f>
        <v>#REF!</v>
      </c>
      <c r="U25" s="20" t="e">
        <f aca="false">#REF!</f>
        <v>#REF!</v>
      </c>
      <c r="V25" s="4" t="n">
        <f aca="false">V24+10</f>
        <v>220</v>
      </c>
    </row>
    <row r="26" customFormat="false" ht="14.25" hidden="false" customHeight="false" outlineLevel="0" collapsed="false">
      <c r="B26" s="4" t="n">
        <v>93</v>
      </c>
      <c r="C26" s="4" t="s">
        <v>31</v>
      </c>
      <c r="D26" s="4" t="e">
        <f aca="false">#REF!</f>
        <v>#REF!</v>
      </c>
      <c r="E26" s="18" t="e">
        <f aca="false">SUM(#REF!)</f>
        <v>#REF!</v>
      </c>
      <c r="F26" s="19" t="e">
        <f aca="false">SUM(#REF!)</f>
        <v>#REF!</v>
      </c>
      <c r="G26" s="18" t="e">
        <f aca="false">SUM(#REF!)+SUM(#REF!)</f>
        <v>#REF!</v>
      </c>
      <c r="H26" s="19" t="e">
        <f aca="false">SUM(#REF!)+SUM(#REF!)</f>
        <v>#REF!</v>
      </c>
      <c r="I26" s="20" t="e">
        <f aca="false">#REF!</f>
        <v>#REF!</v>
      </c>
      <c r="K26" s="18" t="e">
        <f aca="false">SUM(#REF!)</f>
        <v>#REF!</v>
      </c>
      <c r="L26" s="19" t="e">
        <f aca="false">SUM(#REF!)</f>
        <v>#REF!</v>
      </c>
      <c r="M26" s="18" t="e">
        <f aca="false">SUM(#REF!)+SUM(#REF!)</f>
        <v>#REF!</v>
      </c>
      <c r="N26" s="19" t="e">
        <f aca="false">SUM(#REF!)+SUM(#REF!)</f>
        <v>#REF!</v>
      </c>
      <c r="O26" s="20" t="e">
        <f aca="false">#REF!</f>
        <v>#REF!</v>
      </c>
      <c r="Q26" s="18" t="e">
        <f aca="false">SUM(#REF!)</f>
        <v>#REF!</v>
      </c>
      <c r="R26" s="19" t="e">
        <f aca="false">SUM(#REF!)</f>
        <v>#REF!</v>
      </c>
      <c r="S26" s="18" t="e">
        <f aca="false">SUM(#REF!)+SUM(#REF!)</f>
        <v>#REF!</v>
      </c>
      <c r="T26" s="19" t="e">
        <f aca="false">SUM(#REF!)+SUM(#REF!)</f>
        <v>#REF!</v>
      </c>
      <c r="U26" s="20" t="e">
        <f aca="false">#REF!</f>
        <v>#REF!</v>
      </c>
      <c r="V26" s="4" t="n">
        <f aca="false">V25+10</f>
        <v>230</v>
      </c>
    </row>
    <row r="27" customFormat="false" ht="14.25" hidden="false" customHeight="false" outlineLevel="0" collapsed="false">
      <c r="B27" s="4" t="n">
        <v>97</v>
      </c>
      <c r="C27" s="4" t="s">
        <v>31</v>
      </c>
      <c r="D27" s="4" t="e">
        <f aca="false">#REF!</f>
        <v>#REF!</v>
      </c>
      <c r="E27" s="18" t="e">
        <f aca="false">SUM(#REF!)</f>
        <v>#REF!</v>
      </c>
      <c r="F27" s="19" t="e">
        <f aca="false">SUM(#REF!)</f>
        <v>#REF!</v>
      </c>
      <c r="G27" s="18" t="e">
        <f aca="false">SUM(#REF!)+SUM(#REF!)</f>
        <v>#REF!</v>
      </c>
      <c r="H27" s="19" t="e">
        <f aca="false">SUM(#REF!)+SUM(#REF!)</f>
        <v>#REF!</v>
      </c>
      <c r="I27" s="20" t="e">
        <f aca="false">#REF!</f>
        <v>#REF!</v>
      </c>
      <c r="K27" s="18" t="e">
        <f aca="false">SUM(#REF!)</f>
        <v>#REF!</v>
      </c>
      <c r="L27" s="19" t="e">
        <f aca="false">SUM(#REF!)</f>
        <v>#REF!</v>
      </c>
      <c r="M27" s="18" t="e">
        <f aca="false">SUM(#REF!)+SUM(#REF!)</f>
        <v>#REF!</v>
      </c>
      <c r="N27" s="19" t="e">
        <f aca="false">SUM(#REF!)+SUM(#REF!)</f>
        <v>#REF!</v>
      </c>
      <c r="O27" s="20" t="e">
        <f aca="false">#REF!</f>
        <v>#REF!</v>
      </c>
      <c r="Q27" s="18" t="e">
        <f aca="false">SUM(#REF!)</f>
        <v>#REF!</v>
      </c>
      <c r="R27" s="19" t="e">
        <f aca="false">SUM(#REF!)</f>
        <v>#REF!</v>
      </c>
      <c r="S27" s="18" t="e">
        <f aca="false">SUM(#REF!)+SUM(#REF!)</f>
        <v>#REF!</v>
      </c>
      <c r="T27" s="19" t="e">
        <f aca="false">SUM(#REF!)+SUM(#REF!)</f>
        <v>#REF!</v>
      </c>
      <c r="U27" s="20" t="e">
        <f aca="false">#REF!</f>
        <v>#REF!</v>
      </c>
      <c r="V27" s="4" t="n">
        <f aca="false">V26+10</f>
        <v>240</v>
      </c>
    </row>
    <row r="28" customFormat="false" ht="14.25" hidden="false" customHeight="false" outlineLevel="0" collapsed="false">
      <c r="B28" s="4" t="n">
        <v>101</v>
      </c>
      <c r="C28" s="4" t="s">
        <v>31</v>
      </c>
      <c r="D28" s="4" t="e">
        <f aca="false">#REF!</f>
        <v>#REF!</v>
      </c>
      <c r="E28" s="18" t="e">
        <f aca="false">SUM(#REF!)</f>
        <v>#REF!</v>
      </c>
      <c r="F28" s="19" t="e">
        <f aca="false">SUM(#REF!)</f>
        <v>#REF!</v>
      </c>
      <c r="G28" s="18" t="e">
        <f aca="false">SUM(#REF!)+SUM(#REF!)</f>
        <v>#REF!</v>
      </c>
      <c r="H28" s="19" t="e">
        <f aca="false">SUM(#REF!)+SUM(#REF!)</f>
        <v>#REF!</v>
      </c>
      <c r="I28" s="20" t="e">
        <f aca="false">#REF!</f>
        <v>#REF!</v>
      </c>
      <c r="K28" s="18" t="e">
        <f aca="false">SUM(#REF!)</f>
        <v>#REF!</v>
      </c>
      <c r="L28" s="19" t="e">
        <f aca="false">SUM(#REF!)</f>
        <v>#REF!</v>
      </c>
      <c r="M28" s="18" t="e">
        <f aca="false">SUM(#REF!)+SUM(#REF!)</f>
        <v>#REF!</v>
      </c>
      <c r="N28" s="19" t="e">
        <f aca="false">SUM(#REF!)+SUM(#REF!)</f>
        <v>#REF!</v>
      </c>
      <c r="O28" s="20" t="e">
        <f aca="false">#REF!</f>
        <v>#REF!</v>
      </c>
      <c r="Q28" s="18" t="e">
        <f aca="false">SUM(#REF!)</f>
        <v>#REF!</v>
      </c>
      <c r="R28" s="19" t="e">
        <f aca="false">SUM(#REF!)</f>
        <v>#REF!</v>
      </c>
      <c r="S28" s="18" t="e">
        <f aca="false">SUM(#REF!)+SUM(#REF!)</f>
        <v>#REF!</v>
      </c>
      <c r="T28" s="19" t="e">
        <f aca="false">SUM(#REF!)+SUM(#REF!)</f>
        <v>#REF!</v>
      </c>
      <c r="U28" s="20" t="e">
        <f aca="false">#REF!</f>
        <v>#REF!</v>
      </c>
      <c r="V28" s="4" t="n">
        <f aca="false">V27+10</f>
        <v>250</v>
      </c>
    </row>
    <row r="29" customFormat="false" ht="14.25" hidden="false" customHeight="false" outlineLevel="0" collapsed="false">
      <c r="B29" s="4" t="n">
        <v>105</v>
      </c>
      <c r="C29" s="4" t="s">
        <v>32</v>
      </c>
      <c r="D29" s="4" t="e">
        <f aca="false">#REF!</f>
        <v>#REF!</v>
      </c>
      <c r="E29" s="18" t="e">
        <f aca="false">SUM(#REF!)</f>
        <v>#REF!</v>
      </c>
      <c r="F29" s="19" t="e">
        <f aca="false">SUM(#REF!)</f>
        <v>#REF!</v>
      </c>
      <c r="G29" s="18" t="e">
        <f aca="false">SUM(#REF!)+SUM(#REF!)</f>
        <v>#REF!</v>
      </c>
      <c r="H29" s="19" t="e">
        <f aca="false">SUM(#REF!)+SUM(#REF!)</f>
        <v>#REF!</v>
      </c>
      <c r="I29" s="20" t="e">
        <f aca="false">#REF!</f>
        <v>#REF!</v>
      </c>
      <c r="K29" s="18" t="e">
        <f aca="false">SUM(#REF!)</f>
        <v>#REF!</v>
      </c>
      <c r="L29" s="19" t="e">
        <f aca="false">SUM(#REF!)</f>
        <v>#REF!</v>
      </c>
      <c r="M29" s="18" t="e">
        <f aca="false">SUM(#REF!)+SUM(#REF!)</f>
        <v>#REF!</v>
      </c>
      <c r="N29" s="19" t="e">
        <f aca="false">SUM(#REF!)+SUM(#REF!)</f>
        <v>#REF!</v>
      </c>
      <c r="O29" s="20" t="e">
        <f aca="false">#REF!</f>
        <v>#REF!</v>
      </c>
      <c r="Q29" s="18" t="e">
        <f aca="false">SUM(#REF!)</f>
        <v>#REF!</v>
      </c>
      <c r="R29" s="19" t="e">
        <f aca="false">SUM(#REF!)</f>
        <v>#REF!</v>
      </c>
      <c r="S29" s="18" t="e">
        <f aca="false">SUM(#REF!)+SUM(#REF!)</f>
        <v>#REF!</v>
      </c>
      <c r="T29" s="19" t="e">
        <f aca="false">SUM(#REF!)+SUM(#REF!)</f>
        <v>#REF!</v>
      </c>
      <c r="U29" s="20" t="e">
        <f aca="false">#REF!</f>
        <v>#REF!</v>
      </c>
      <c r="V29" s="4" t="n">
        <f aca="false">V28+10</f>
        <v>260</v>
      </c>
    </row>
    <row r="30" customFormat="false" ht="14.25" hidden="false" customHeight="false" outlineLevel="0" collapsed="false">
      <c r="B30" s="4" t="n">
        <v>109</v>
      </c>
      <c r="C30" s="4" t="s">
        <v>32</v>
      </c>
      <c r="D30" s="4" t="e">
        <f aca="false">#REF!</f>
        <v>#REF!</v>
      </c>
      <c r="E30" s="18" t="e">
        <f aca="false">SUM(#REF!)</f>
        <v>#REF!</v>
      </c>
      <c r="F30" s="19" t="e">
        <f aca="false">SUM(#REF!)</f>
        <v>#REF!</v>
      </c>
      <c r="G30" s="18" t="e">
        <f aca="false">SUM(#REF!)+SUM(#REF!)</f>
        <v>#REF!</v>
      </c>
      <c r="H30" s="19" t="e">
        <f aca="false">SUM(#REF!)+SUM(#REF!)</f>
        <v>#REF!</v>
      </c>
      <c r="I30" s="20" t="e">
        <f aca="false">#REF!</f>
        <v>#REF!</v>
      </c>
      <c r="K30" s="18" t="e">
        <f aca="false">SUM(#REF!)</f>
        <v>#REF!</v>
      </c>
      <c r="L30" s="19" t="e">
        <f aca="false">SUM(#REF!)</f>
        <v>#REF!</v>
      </c>
      <c r="M30" s="18" t="e">
        <f aca="false">SUM(#REF!)+SUM(#REF!)</f>
        <v>#REF!</v>
      </c>
      <c r="N30" s="19" t="e">
        <f aca="false">SUM(#REF!)+SUM(#REF!)</f>
        <v>#REF!</v>
      </c>
      <c r="O30" s="20" t="e">
        <f aca="false">#REF!</f>
        <v>#REF!</v>
      </c>
      <c r="Q30" s="18" t="e">
        <f aca="false">SUM(#REF!)</f>
        <v>#REF!</v>
      </c>
      <c r="R30" s="19" t="e">
        <f aca="false">SUM(#REF!)</f>
        <v>#REF!</v>
      </c>
      <c r="S30" s="18" t="e">
        <f aca="false">SUM(#REF!)+SUM(#REF!)</f>
        <v>#REF!</v>
      </c>
      <c r="T30" s="19" t="e">
        <f aca="false">SUM(#REF!)+SUM(#REF!)</f>
        <v>#REF!</v>
      </c>
      <c r="U30" s="20" t="e">
        <f aca="false">#REF!</f>
        <v>#REF!</v>
      </c>
      <c r="V30" s="4" t="n">
        <f aca="false">V29+10</f>
        <v>270</v>
      </c>
    </row>
    <row r="31" customFormat="false" ht="14.25" hidden="false" customHeight="false" outlineLevel="0" collapsed="false">
      <c r="B31" s="4" t="n">
        <v>113</v>
      </c>
      <c r="C31" s="4" t="s">
        <v>32</v>
      </c>
      <c r="D31" s="4" t="e">
        <f aca="false">#REF!</f>
        <v>#REF!</v>
      </c>
      <c r="E31" s="18" t="e">
        <f aca="false">SUM(#REF!)</f>
        <v>#REF!</v>
      </c>
      <c r="F31" s="19" t="e">
        <f aca="false">SUM(#REF!)</f>
        <v>#REF!</v>
      </c>
      <c r="G31" s="18" t="e">
        <f aca="false">SUM(#REF!)+SUM(#REF!)</f>
        <v>#REF!</v>
      </c>
      <c r="H31" s="19" t="e">
        <f aca="false">SUM(#REF!)+SUM(#REF!)</f>
        <v>#REF!</v>
      </c>
      <c r="I31" s="20" t="e">
        <f aca="false">#REF!</f>
        <v>#REF!</v>
      </c>
      <c r="K31" s="18" t="e">
        <f aca="false">SUM(#REF!)</f>
        <v>#REF!</v>
      </c>
      <c r="L31" s="19" t="e">
        <f aca="false">SUM(#REF!)</f>
        <v>#REF!</v>
      </c>
      <c r="M31" s="18" t="e">
        <f aca="false">SUM(#REF!)+SUM(#REF!)</f>
        <v>#REF!</v>
      </c>
      <c r="N31" s="19" t="e">
        <f aca="false">SUM(#REF!)+SUM(#REF!)</f>
        <v>#REF!</v>
      </c>
      <c r="O31" s="20" t="e">
        <f aca="false">#REF!</f>
        <v>#REF!</v>
      </c>
      <c r="Q31" s="18" t="e">
        <f aca="false">SUM(#REF!)</f>
        <v>#REF!</v>
      </c>
      <c r="R31" s="19" t="e">
        <f aca="false">SUM(#REF!)</f>
        <v>#REF!</v>
      </c>
      <c r="S31" s="18" t="e">
        <f aca="false">SUM(#REF!)+SUM(#REF!)</f>
        <v>#REF!</v>
      </c>
      <c r="T31" s="19" t="e">
        <f aca="false">SUM(#REF!)+SUM(#REF!)</f>
        <v>#REF!</v>
      </c>
      <c r="U31" s="20" t="e">
        <f aca="false">#REF!</f>
        <v>#REF!</v>
      </c>
      <c r="V31" s="4" t="n">
        <f aca="false">V30+10</f>
        <v>280</v>
      </c>
    </row>
    <row r="32" customFormat="false" ht="14.25" hidden="false" customHeight="false" outlineLevel="0" collapsed="false">
      <c r="B32" s="4" t="n">
        <v>117</v>
      </c>
      <c r="C32" s="4" t="s">
        <v>32</v>
      </c>
      <c r="D32" s="4" t="e">
        <f aca="false">#REF!</f>
        <v>#REF!</v>
      </c>
      <c r="E32" s="18" t="e">
        <f aca="false">SUM(#REF!)</f>
        <v>#REF!</v>
      </c>
      <c r="F32" s="19" t="e">
        <f aca="false">SUM(#REF!)</f>
        <v>#REF!</v>
      </c>
      <c r="G32" s="18" t="e">
        <f aca="false">SUM(#REF!)+SUM(#REF!)</f>
        <v>#REF!</v>
      </c>
      <c r="H32" s="19" t="e">
        <f aca="false">SUM(#REF!)+SUM(#REF!)</f>
        <v>#REF!</v>
      </c>
      <c r="I32" s="20" t="e">
        <f aca="false">#REF!</f>
        <v>#REF!</v>
      </c>
      <c r="K32" s="18" t="e">
        <f aca="false">SUM(#REF!)</f>
        <v>#REF!</v>
      </c>
      <c r="L32" s="19" t="e">
        <f aca="false">SUM(#REF!)</f>
        <v>#REF!</v>
      </c>
      <c r="M32" s="18" t="e">
        <f aca="false">SUM(#REF!)+SUM(#REF!)</f>
        <v>#REF!</v>
      </c>
      <c r="N32" s="19" t="e">
        <f aca="false">SUM(#REF!)+SUM(#REF!)</f>
        <v>#REF!</v>
      </c>
      <c r="O32" s="20" t="e">
        <f aca="false">#REF!</f>
        <v>#REF!</v>
      </c>
      <c r="Q32" s="18" t="e">
        <f aca="false">SUM(#REF!)</f>
        <v>#REF!</v>
      </c>
      <c r="R32" s="19" t="e">
        <f aca="false">SUM(#REF!)</f>
        <v>#REF!</v>
      </c>
      <c r="S32" s="18" t="e">
        <f aca="false">SUM(#REF!)+SUM(#REF!)</f>
        <v>#REF!</v>
      </c>
      <c r="T32" s="19" t="e">
        <f aca="false">SUM(#REF!)+SUM(#REF!)</f>
        <v>#REF!</v>
      </c>
      <c r="U32" s="20" t="e">
        <f aca="false">#REF!</f>
        <v>#REF!</v>
      </c>
      <c r="V32" s="4" t="n">
        <f aca="false">V31+10</f>
        <v>290</v>
      </c>
    </row>
    <row r="33" customFormat="false" ht="14.25" hidden="false" customHeight="false" outlineLevel="0" collapsed="false">
      <c r="B33" s="4" t="n">
        <v>121</v>
      </c>
      <c r="C33" s="4" t="s">
        <v>33</v>
      </c>
      <c r="D33" s="4" t="e">
        <f aca="false">#REF!</f>
        <v>#REF!</v>
      </c>
      <c r="E33" s="18" t="e">
        <f aca="false">SUM(#REF!)</f>
        <v>#REF!</v>
      </c>
      <c r="F33" s="19" t="e">
        <f aca="false">SUM(#REF!)</f>
        <v>#REF!</v>
      </c>
      <c r="G33" s="18" t="e">
        <f aca="false">SUM(#REF!)+SUM(#REF!)</f>
        <v>#REF!</v>
      </c>
      <c r="H33" s="19" t="e">
        <f aca="false">SUM(#REF!)+SUM(#REF!)</f>
        <v>#REF!</v>
      </c>
      <c r="I33" s="20" t="e">
        <f aca="false">#REF!</f>
        <v>#REF!</v>
      </c>
      <c r="K33" s="18" t="e">
        <f aca="false">SUM(#REF!)</f>
        <v>#REF!</v>
      </c>
      <c r="L33" s="19" t="e">
        <f aca="false">SUM(#REF!)</f>
        <v>#REF!</v>
      </c>
      <c r="M33" s="18" t="e">
        <f aca="false">SUM(#REF!)+SUM(#REF!)</f>
        <v>#REF!</v>
      </c>
      <c r="N33" s="19" t="e">
        <f aca="false">SUM(#REF!)+SUM(#REF!)</f>
        <v>#REF!</v>
      </c>
      <c r="O33" s="20" t="e">
        <f aca="false">#REF!</f>
        <v>#REF!</v>
      </c>
      <c r="Q33" s="18" t="e">
        <f aca="false">SUM(#REF!)</f>
        <v>#REF!</v>
      </c>
      <c r="R33" s="19" t="e">
        <f aca="false">SUM(#REF!)</f>
        <v>#REF!</v>
      </c>
      <c r="S33" s="18" t="e">
        <f aca="false">SUM(#REF!)+SUM(#REF!)</f>
        <v>#REF!</v>
      </c>
      <c r="T33" s="19" t="e">
        <f aca="false">SUM(#REF!)+SUM(#REF!)</f>
        <v>#REF!</v>
      </c>
      <c r="U33" s="20" t="e">
        <f aca="false">#REF!</f>
        <v>#REF!</v>
      </c>
      <c r="V33" s="4" t="n">
        <f aca="false">V32+10</f>
        <v>300</v>
      </c>
    </row>
    <row r="34" customFormat="false" ht="14.25" hidden="false" customHeight="false" outlineLevel="0" collapsed="false">
      <c r="B34" s="4" t="n">
        <v>129</v>
      </c>
      <c r="C34" s="4" t="s">
        <v>33</v>
      </c>
      <c r="D34" s="4" t="e">
        <f aca="false">#REF!</f>
        <v>#REF!</v>
      </c>
      <c r="E34" s="18" t="e">
        <f aca="false">SUM(#REF!)</f>
        <v>#REF!</v>
      </c>
      <c r="F34" s="19" t="e">
        <f aca="false">SUM(#REF!)</f>
        <v>#REF!</v>
      </c>
      <c r="G34" s="18" t="e">
        <f aca="false">SUM(#REF!)+SUM(#REF!)</f>
        <v>#REF!</v>
      </c>
      <c r="H34" s="19" t="e">
        <f aca="false">SUM(#REF!)+SUM(#REF!)</f>
        <v>#REF!</v>
      </c>
      <c r="I34" s="20" t="e">
        <f aca="false">#REF!</f>
        <v>#REF!</v>
      </c>
      <c r="K34" s="18" t="e">
        <f aca="false">SUM(#REF!)</f>
        <v>#REF!</v>
      </c>
      <c r="L34" s="19" t="e">
        <f aca="false">SUM(#REF!)</f>
        <v>#REF!</v>
      </c>
      <c r="M34" s="18" t="e">
        <f aca="false">SUM(#REF!)+SUM(#REF!)</f>
        <v>#REF!</v>
      </c>
      <c r="N34" s="19" t="e">
        <f aca="false">SUM(#REF!)+SUM(#REF!)</f>
        <v>#REF!</v>
      </c>
      <c r="O34" s="20" t="e">
        <f aca="false">#REF!</f>
        <v>#REF!</v>
      </c>
      <c r="Q34" s="18" t="e">
        <f aca="false">SUM(#REF!)</f>
        <v>#REF!</v>
      </c>
      <c r="R34" s="19" t="e">
        <f aca="false">SUM(#REF!)</f>
        <v>#REF!</v>
      </c>
      <c r="S34" s="18" t="e">
        <f aca="false">SUM(#REF!)+SUM(#REF!)</f>
        <v>#REF!</v>
      </c>
      <c r="T34" s="19" t="e">
        <f aca="false">SUM(#REF!)+SUM(#REF!)</f>
        <v>#REF!</v>
      </c>
      <c r="U34" s="20" t="e">
        <f aca="false">#REF!</f>
        <v>#REF!</v>
      </c>
      <c r="V34" s="4" t="n">
        <f aca="false">V33+10</f>
        <v>310</v>
      </c>
      <c r="Y34" s="4" t="n">
        <f aca="false">SUMIF(VOLUMES!$D$3:$D$52,I159,VOLUMES!Y$3:Y$52)</f>
        <v>0</v>
      </c>
    </row>
    <row r="35" customFormat="false" ht="14.25" hidden="false" customHeight="false" outlineLevel="0" collapsed="false">
      <c r="B35" s="4" t="n">
        <v>137</v>
      </c>
      <c r="C35" s="4" t="s">
        <v>33</v>
      </c>
      <c r="D35" s="4" t="e">
        <f aca="false">#REF!</f>
        <v>#REF!</v>
      </c>
      <c r="E35" s="18" t="e">
        <f aca="false">SUM(#REF!)</f>
        <v>#REF!</v>
      </c>
      <c r="F35" s="19" t="e">
        <f aca="false">SUM(#REF!)</f>
        <v>#REF!</v>
      </c>
      <c r="G35" s="18" t="e">
        <f aca="false">SUM(#REF!)+SUM(#REF!)</f>
        <v>#REF!</v>
      </c>
      <c r="H35" s="19" t="e">
        <f aca="false">SUM(#REF!)+SUM(#REF!)</f>
        <v>#REF!</v>
      </c>
      <c r="I35" s="20" t="e">
        <f aca="false">#REF!</f>
        <v>#REF!</v>
      </c>
      <c r="K35" s="18" t="e">
        <f aca="false">SUM(#REF!)</f>
        <v>#REF!</v>
      </c>
      <c r="L35" s="19" t="e">
        <f aca="false">SUM(#REF!)</f>
        <v>#REF!</v>
      </c>
      <c r="M35" s="18" t="e">
        <f aca="false">SUM(#REF!)+SUM(#REF!)</f>
        <v>#REF!</v>
      </c>
      <c r="N35" s="19" t="e">
        <f aca="false">SUM(#REF!)+SUM(#REF!)</f>
        <v>#REF!</v>
      </c>
      <c r="O35" s="20" t="e">
        <f aca="false">#REF!</f>
        <v>#REF!</v>
      </c>
      <c r="Q35" s="18" t="e">
        <f aca="false">SUM(#REF!)</f>
        <v>#REF!</v>
      </c>
      <c r="R35" s="19" t="e">
        <f aca="false">SUM(#REF!)</f>
        <v>#REF!</v>
      </c>
      <c r="S35" s="18" t="e">
        <f aca="false">SUM(#REF!)+SUM(#REF!)</f>
        <v>#REF!</v>
      </c>
      <c r="T35" s="19" t="e">
        <f aca="false">SUM(#REF!)+SUM(#REF!)</f>
        <v>#REF!</v>
      </c>
      <c r="U35" s="20" t="e">
        <f aca="false">#REF!</f>
        <v>#REF!</v>
      </c>
      <c r="V35" s="4" t="n">
        <f aca="false">V34+10</f>
        <v>320</v>
      </c>
    </row>
    <row r="36" customFormat="false" ht="14.25" hidden="false" customHeight="false" outlineLevel="0" collapsed="false">
      <c r="B36" s="4" t="n">
        <v>145</v>
      </c>
      <c r="C36" s="4" t="s">
        <v>33</v>
      </c>
      <c r="D36" s="4" t="e">
        <f aca="false">#REF!</f>
        <v>#REF!</v>
      </c>
      <c r="E36" s="18" t="e">
        <f aca="false">SUM(#REF!)</f>
        <v>#REF!</v>
      </c>
      <c r="F36" s="18" t="e">
        <f aca="false">SUM(#REF!)</f>
        <v>#REF!</v>
      </c>
      <c r="G36" s="18" t="e">
        <f aca="false">SUM(#REF!)+SUM(#REF!)</f>
        <v>#REF!</v>
      </c>
      <c r="H36" s="19" t="e">
        <f aca="false">SUM(#REF!)+SUM(#REF!)</f>
        <v>#REF!</v>
      </c>
      <c r="I36" s="20" t="e">
        <f aca="false">#REF!</f>
        <v>#REF!</v>
      </c>
      <c r="K36" s="18" t="e">
        <f aca="false">SUM(#REF!)</f>
        <v>#REF!</v>
      </c>
      <c r="L36" s="18" t="e">
        <f aca="false">SUM(#REF!)</f>
        <v>#REF!</v>
      </c>
      <c r="M36" s="18" t="e">
        <f aca="false">SUM(#REF!)+SUM(#REF!)</f>
        <v>#REF!</v>
      </c>
      <c r="N36" s="19" t="e">
        <f aca="false">SUM(#REF!)+SUM(#REF!)</f>
        <v>#REF!</v>
      </c>
      <c r="O36" s="20" t="e">
        <f aca="false">#REF!</f>
        <v>#REF!</v>
      </c>
      <c r="Q36" s="18" t="e">
        <f aca="false">SUM(#REF!)</f>
        <v>#REF!</v>
      </c>
      <c r="R36" s="18" t="e">
        <f aca="false">SUM(#REF!)</f>
        <v>#REF!</v>
      </c>
      <c r="S36" s="18" t="e">
        <f aca="false">SUM(#REF!)+SUM(#REF!)</f>
        <v>#REF!</v>
      </c>
      <c r="T36" s="19" t="e">
        <f aca="false">SUM(#REF!)+SUM(#REF!)</f>
        <v>#REF!</v>
      </c>
      <c r="U36" s="20" t="e">
        <f aca="false">#REF!</f>
        <v>#REF!</v>
      </c>
      <c r="V36" s="4" t="n">
        <f aca="false">V35+10</f>
        <v>330</v>
      </c>
    </row>
    <row r="37" customFormat="false" ht="14.25" hidden="false" customHeight="false" outlineLevel="0" collapsed="false">
      <c r="B37" s="4" t="n">
        <v>153</v>
      </c>
      <c r="C37" s="4" t="s">
        <v>34</v>
      </c>
      <c r="D37" s="4" t="e">
        <f aca="false">#REF!</f>
        <v>#REF!</v>
      </c>
      <c r="E37" s="18" t="e">
        <f aca="false">SUM(#REF!)</f>
        <v>#REF!</v>
      </c>
      <c r="F37" s="19" t="e">
        <f aca="false">SUM(#REF!)</f>
        <v>#REF!</v>
      </c>
      <c r="G37" s="18" t="e">
        <f aca="false">SUM(#REF!)+SUM(#REF!)</f>
        <v>#REF!</v>
      </c>
      <c r="H37" s="19" t="e">
        <f aca="false">SUM(#REF!)+SUM(#REF!)</f>
        <v>#REF!</v>
      </c>
      <c r="I37" s="20" t="e">
        <f aca="false">#REF!</f>
        <v>#REF!</v>
      </c>
      <c r="K37" s="18" t="e">
        <f aca="false">SUM(#REF!)</f>
        <v>#REF!</v>
      </c>
      <c r="L37" s="19" t="e">
        <f aca="false">SUM(#REF!)</f>
        <v>#REF!</v>
      </c>
      <c r="M37" s="18" t="e">
        <f aca="false">SUM(#REF!)+SUM(#REF!)</f>
        <v>#REF!</v>
      </c>
      <c r="N37" s="19" t="e">
        <f aca="false">SUM(#REF!)+SUM(#REF!)</f>
        <v>#REF!</v>
      </c>
      <c r="O37" s="20" t="e">
        <f aca="false">#REF!</f>
        <v>#REF!</v>
      </c>
      <c r="Q37" s="18" t="e">
        <f aca="false">SUM(#REF!)</f>
        <v>#REF!</v>
      </c>
      <c r="R37" s="19" t="e">
        <f aca="false">SUM(#REF!)</f>
        <v>#REF!</v>
      </c>
      <c r="S37" s="18" t="e">
        <f aca="false">SUM(#REF!)+SUM(#REF!)</f>
        <v>#REF!</v>
      </c>
      <c r="T37" s="19" t="e">
        <f aca="false">SUM(#REF!)+SUM(#REF!)</f>
        <v>#REF!</v>
      </c>
      <c r="U37" s="20" t="e">
        <f aca="false">#REF!</f>
        <v>#REF!</v>
      </c>
      <c r="V37" s="4" t="n">
        <f aca="false">V36+10</f>
        <v>340</v>
      </c>
    </row>
    <row r="38" customFormat="false" ht="14.25" hidden="false" customHeight="false" outlineLevel="0" collapsed="false">
      <c r="B38" s="4" t="n">
        <v>157</v>
      </c>
      <c r="C38" s="4" t="s">
        <v>34</v>
      </c>
      <c r="D38" s="4" t="e">
        <f aca="false">#REF!</f>
        <v>#REF!</v>
      </c>
      <c r="E38" s="18" t="e">
        <f aca="false">SUM(#REF!)</f>
        <v>#REF!</v>
      </c>
      <c r="F38" s="19" t="e">
        <f aca="false">SUM(#REF!)</f>
        <v>#REF!</v>
      </c>
      <c r="G38" s="18" t="e">
        <f aca="false">SUM(#REF!)+SUM(#REF!)</f>
        <v>#REF!</v>
      </c>
      <c r="H38" s="19" t="e">
        <f aca="false">SUM(#REF!)+SUM(#REF!)</f>
        <v>#REF!</v>
      </c>
      <c r="I38" s="20" t="e">
        <f aca="false">#REF!</f>
        <v>#REF!</v>
      </c>
      <c r="K38" s="18" t="e">
        <f aca="false">SUM(#REF!)</f>
        <v>#REF!</v>
      </c>
      <c r="L38" s="19" t="e">
        <f aca="false">SUM(#REF!)</f>
        <v>#REF!</v>
      </c>
      <c r="M38" s="18" t="e">
        <f aca="false">SUM(#REF!)+SUM(#REF!)</f>
        <v>#REF!</v>
      </c>
      <c r="N38" s="19" t="e">
        <f aca="false">SUM(#REF!)+SUM(#REF!)</f>
        <v>#REF!</v>
      </c>
      <c r="O38" s="20" t="e">
        <f aca="false">#REF!</f>
        <v>#REF!</v>
      </c>
      <c r="Q38" s="18" t="e">
        <f aca="false">SUM(#REF!)</f>
        <v>#REF!</v>
      </c>
      <c r="R38" s="19" t="e">
        <f aca="false">SUM(#REF!)</f>
        <v>#REF!</v>
      </c>
      <c r="S38" s="18" t="e">
        <f aca="false">SUM(#REF!)+SUM(#REF!)</f>
        <v>#REF!</v>
      </c>
      <c r="T38" s="19" t="e">
        <f aca="false">SUM(#REF!)+SUM(#REF!)</f>
        <v>#REF!</v>
      </c>
      <c r="U38" s="20" t="e">
        <f aca="false">#REF!</f>
        <v>#REF!</v>
      </c>
      <c r="V38" s="4" t="n">
        <f aca="false">V37+10</f>
        <v>350</v>
      </c>
    </row>
    <row r="39" customFormat="false" ht="14.25" hidden="false" customHeight="false" outlineLevel="0" collapsed="false">
      <c r="B39" s="4" t="n">
        <v>161</v>
      </c>
      <c r="C39" s="4" t="s">
        <v>34</v>
      </c>
      <c r="D39" s="4" t="e">
        <f aca="false">#REF!</f>
        <v>#REF!</v>
      </c>
      <c r="E39" s="18" t="e">
        <f aca="false">SUM(#REF!)</f>
        <v>#REF!</v>
      </c>
      <c r="F39" s="19" t="e">
        <f aca="false">SUM(#REF!)</f>
        <v>#REF!</v>
      </c>
      <c r="G39" s="18" t="e">
        <f aca="false">SUM(#REF!)+SUM(#REF!)</f>
        <v>#REF!</v>
      </c>
      <c r="H39" s="19" t="e">
        <f aca="false">SUM(#REF!)+SUM(#REF!)</f>
        <v>#REF!</v>
      </c>
      <c r="I39" s="20" t="e">
        <f aca="false">#REF!</f>
        <v>#REF!</v>
      </c>
      <c r="K39" s="18" t="e">
        <f aca="false">SUM(#REF!)</f>
        <v>#REF!</v>
      </c>
      <c r="L39" s="19" t="e">
        <f aca="false">SUM(#REF!)</f>
        <v>#REF!</v>
      </c>
      <c r="M39" s="18" t="e">
        <f aca="false">SUM(#REF!)+SUM(#REF!)</f>
        <v>#REF!</v>
      </c>
      <c r="N39" s="19" t="e">
        <f aca="false">SUM(#REF!)+SUM(#REF!)</f>
        <v>#REF!</v>
      </c>
      <c r="O39" s="20" t="e">
        <f aca="false">#REF!</f>
        <v>#REF!</v>
      </c>
      <c r="Q39" s="18" t="e">
        <f aca="false">SUM(#REF!)</f>
        <v>#REF!</v>
      </c>
      <c r="R39" s="19" t="e">
        <f aca="false">SUM(#REF!)</f>
        <v>#REF!</v>
      </c>
      <c r="S39" s="18" t="e">
        <f aca="false">SUM(#REF!)+SUM(#REF!)</f>
        <v>#REF!</v>
      </c>
      <c r="T39" s="19" t="e">
        <f aca="false">SUM(#REF!)+SUM(#REF!)</f>
        <v>#REF!</v>
      </c>
      <c r="U39" s="20" t="e">
        <f aca="false">#REF!</f>
        <v>#REF!</v>
      </c>
      <c r="V39" s="4" t="n">
        <f aca="false">V38+10</f>
        <v>360</v>
      </c>
    </row>
    <row r="40" customFormat="false" ht="14.25" hidden="false" customHeight="false" outlineLevel="0" collapsed="false">
      <c r="B40" s="4" t="n">
        <v>165</v>
      </c>
      <c r="C40" s="4" t="s">
        <v>34</v>
      </c>
      <c r="D40" s="4" t="e">
        <f aca="false">#REF!</f>
        <v>#REF!</v>
      </c>
      <c r="E40" s="18" t="e">
        <f aca="false">SUM(#REF!)</f>
        <v>#REF!</v>
      </c>
      <c r="F40" s="19" t="e">
        <f aca="false">SUM(#REF!)</f>
        <v>#REF!</v>
      </c>
      <c r="G40" s="18" t="e">
        <f aca="false">SUM(#REF!)+SUM(#REF!)</f>
        <v>#REF!</v>
      </c>
      <c r="H40" s="19" t="e">
        <f aca="false">SUM(#REF!)+SUM(#REF!)</f>
        <v>#REF!</v>
      </c>
      <c r="I40" s="20" t="e">
        <f aca="false">#REF!</f>
        <v>#REF!</v>
      </c>
      <c r="K40" s="18" t="e">
        <f aca="false">SUM(#REF!)</f>
        <v>#REF!</v>
      </c>
      <c r="L40" s="19" t="e">
        <f aca="false">SUM(#REF!)</f>
        <v>#REF!</v>
      </c>
      <c r="M40" s="18" t="e">
        <f aca="false">SUM(#REF!)+SUM(#REF!)</f>
        <v>#REF!</v>
      </c>
      <c r="N40" s="19" t="e">
        <f aca="false">SUM(#REF!)+SUM(#REF!)</f>
        <v>#REF!</v>
      </c>
      <c r="O40" s="20" t="e">
        <f aca="false">#REF!</f>
        <v>#REF!</v>
      </c>
      <c r="Q40" s="18" t="e">
        <f aca="false">SUM(#REF!)</f>
        <v>#REF!</v>
      </c>
      <c r="R40" s="19" t="e">
        <f aca="false">SUM(#REF!)</f>
        <v>#REF!</v>
      </c>
      <c r="S40" s="18" t="e">
        <f aca="false">SUM(#REF!)+SUM(#REF!)</f>
        <v>#REF!</v>
      </c>
      <c r="T40" s="19" t="e">
        <f aca="false">SUM(#REF!)+SUM(#REF!)</f>
        <v>#REF!</v>
      </c>
      <c r="U40" s="20" t="e">
        <f aca="false">#REF!</f>
        <v>#REF!</v>
      </c>
      <c r="V40" s="4" t="n">
        <f aca="false">V39+10</f>
        <v>370</v>
      </c>
    </row>
    <row r="41" customFormat="false" ht="14.25" hidden="false" customHeight="false" outlineLevel="0" collapsed="false">
      <c r="B41" s="4" t="n">
        <v>169</v>
      </c>
      <c r="C41" s="4" t="s">
        <v>34</v>
      </c>
      <c r="D41" s="4" t="e">
        <f aca="false">#REF!</f>
        <v>#REF!</v>
      </c>
      <c r="E41" s="18" t="e">
        <f aca="false">SUM(#REF!)</f>
        <v>#REF!</v>
      </c>
      <c r="F41" s="19" t="e">
        <f aca="false">SUM(#REF!)</f>
        <v>#REF!</v>
      </c>
      <c r="G41" s="18" t="e">
        <f aca="false">SUM(#REF!)+SUM(#REF!)</f>
        <v>#REF!</v>
      </c>
      <c r="H41" s="19" t="e">
        <f aca="false">SUM(#REF!)+SUM(#REF!)</f>
        <v>#REF!</v>
      </c>
      <c r="I41" s="20" t="e">
        <f aca="false">#REF!</f>
        <v>#REF!</v>
      </c>
      <c r="K41" s="18" t="e">
        <f aca="false">SUM(#REF!)</f>
        <v>#REF!</v>
      </c>
      <c r="L41" s="19" t="e">
        <f aca="false">SUM(#REF!)</f>
        <v>#REF!</v>
      </c>
      <c r="M41" s="18" t="e">
        <f aca="false">SUM(#REF!)+SUM(#REF!)</f>
        <v>#REF!</v>
      </c>
      <c r="N41" s="19" t="e">
        <f aca="false">SUM(#REF!)+SUM(#REF!)</f>
        <v>#REF!</v>
      </c>
      <c r="O41" s="20" t="e">
        <f aca="false">#REF!</f>
        <v>#REF!</v>
      </c>
      <c r="Q41" s="18" t="e">
        <f aca="false">SUM(#REF!)</f>
        <v>#REF!</v>
      </c>
      <c r="R41" s="19" t="e">
        <f aca="false">SUM(#REF!)</f>
        <v>#REF!</v>
      </c>
      <c r="S41" s="18" t="e">
        <f aca="false">SUM(#REF!)+SUM(#REF!)</f>
        <v>#REF!</v>
      </c>
      <c r="T41" s="19" t="e">
        <f aca="false">SUM(#REF!)+SUM(#REF!)</f>
        <v>#REF!</v>
      </c>
      <c r="U41" s="20" t="e">
        <f aca="false">#REF!</f>
        <v>#REF!</v>
      </c>
      <c r="V41" s="4" t="n">
        <f aca="false">V40+10</f>
        <v>380</v>
      </c>
    </row>
    <row r="42" customFormat="false" ht="14.25" hidden="false" customHeight="false" outlineLevel="0" collapsed="false">
      <c r="B42" s="4" t="n">
        <v>173</v>
      </c>
      <c r="C42" s="4" t="s">
        <v>35</v>
      </c>
      <c r="D42" s="4" t="e">
        <f aca="false">#REF!</f>
        <v>#REF!</v>
      </c>
      <c r="E42" s="18" t="e">
        <f aca="false">SUM(#REF!)</f>
        <v>#REF!</v>
      </c>
      <c r="F42" s="19" t="e">
        <f aca="false">SUM(#REF!)</f>
        <v>#REF!</v>
      </c>
      <c r="G42" s="18" t="e">
        <f aca="false">SUM(#REF!)+SUM(#REF!)</f>
        <v>#REF!</v>
      </c>
      <c r="H42" s="19" t="e">
        <f aca="false">SUM(#REF!)+SUM(#REF!)</f>
        <v>#REF!</v>
      </c>
      <c r="I42" s="20" t="e">
        <f aca="false">#REF!</f>
        <v>#REF!</v>
      </c>
      <c r="K42" s="18" t="e">
        <f aca="false">SUM(#REF!)</f>
        <v>#REF!</v>
      </c>
      <c r="L42" s="19" t="e">
        <f aca="false">SUM(#REF!)</f>
        <v>#REF!</v>
      </c>
      <c r="M42" s="18" t="e">
        <f aca="false">SUM(#REF!)+SUM(#REF!)</f>
        <v>#REF!</v>
      </c>
      <c r="N42" s="19" t="e">
        <f aca="false">SUM(#REF!)+SUM(#REF!)</f>
        <v>#REF!</v>
      </c>
      <c r="O42" s="20" t="e">
        <f aca="false">#REF!</f>
        <v>#REF!</v>
      </c>
      <c r="Q42" s="18" t="e">
        <f aca="false">SUM(#REF!)</f>
        <v>#REF!</v>
      </c>
      <c r="R42" s="19" t="e">
        <f aca="false">SUM(#REF!)</f>
        <v>#REF!</v>
      </c>
      <c r="S42" s="18" t="e">
        <f aca="false">SUM(#REF!)+SUM(#REF!)</f>
        <v>#REF!</v>
      </c>
      <c r="T42" s="19" t="e">
        <f aca="false">SUM(#REF!)+SUM(#REF!)</f>
        <v>#REF!</v>
      </c>
      <c r="U42" s="20" t="e">
        <f aca="false">#REF!</f>
        <v>#REF!</v>
      </c>
      <c r="V42" s="4" t="n">
        <f aca="false">V41+10</f>
        <v>390</v>
      </c>
    </row>
    <row r="43" customFormat="false" ht="14.25" hidden="false" customHeight="false" outlineLevel="0" collapsed="false">
      <c r="B43" s="4" t="n">
        <v>177</v>
      </c>
      <c r="C43" s="4" t="s">
        <v>35</v>
      </c>
      <c r="D43" s="4" t="e">
        <f aca="false">#REF!</f>
        <v>#REF!</v>
      </c>
      <c r="E43" s="18" t="e">
        <f aca="false">SUM(#REF!)</f>
        <v>#REF!</v>
      </c>
      <c r="F43" s="19" t="e">
        <f aca="false">SUM(#REF!)</f>
        <v>#REF!</v>
      </c>
      <c r="G43" s="18" t="e">
        <f aca="false">SUM(#REF!)+SUM(#REF!)</f>
        <v>#REF!</v>
      </c>
      <c r="H43" s="19" t="e">
        <f aca="false">SUM(#REF!)+SUM(#REF!)</f>
        <v>#REF!</v>
      </c>
      <c r="I43" s="20" t="e">
        <f aca="false">#REF!</f>
        <v>#REF!</v>
      </c>
      <c r="K43" s="18" t="e">
        <f aca="false">SUM(#REF!)</f>
        <v>#REF!</v>
      </c>
      <c r="L43" s="19" t="e">
        <f aca="false">SUM(#REF!)</f>
        <v>#REF!</v>
      </c>
      <c r="M43" s="18" t="e">
        <f aca="false">SUM(#REF!)+SUM(#REF!)</f>
        <v>#REF!</v>
      </c>
      <c r="N43" s="19" t="e">
        <f aca="false">SUM(#REF!)+SUM(#REF!)</f>
        <v>#REF!</v>
      </c>
      <c r="O43" s="20" t="e">
        <f aca="false">#REF!</f>
        <v>#REF!</v>
      </c>
      <c r="Q43" s="18" t="e">
        <f aca="false">SUM(#REF!)</f>
        <v>#REF!</v>
      </c>
      <c r="R43" s="19" t="e">
        <f aca="false">SUM(#REF!)</f>
        <v>#REF!</v>
      </c>
      <c r="S43" s="18" t="e">
        <f aca="false">SUM(#REF!)+SUM(#REF!)</f>
        <v>#REF!</v>
      </c>
      <c r="T43" s="19" t="e">
        <f aca="false">SUM(#REF!)+SUM(#REF!)</f>
        <v>#REF!</v>
      </c>
      <c r="U43" s="20" t="e">
        <f aca="false">#REF!</f>
        <v>#REF!</v>
      </c>
      <c r="V43" s="4" t="n">
        <f aca="false">V42+10</f>
        <v>400</v>
      </c>
    </row>
    <row r="44" customFormat="false" ht="14.25" hidden="false" customHeight="false" outlineLevel="0" collapsed="false">
      <c r="B44" s="4" t="n">
        <v>181</v>
      </c>
      <c r="C44" s="4" t="s">
        <v>35</v>
      </c>
      <c r="D44" s="4" t="e">
        <f aca="false">#REF!</f>
        <v>#REF!</v>
      </c>
      <c r="E44" s="18" t="e">
        <f aca="false">SUM(#REF!)</f>
        <v>#REF!</v>
      </c>
      <c r="F44" s="19" t="e">
        <f aca="false">SUM(#REF!)</f>
        <v>#REF!</v>
      </c>
      <c r="G44" s="18" t="e">
        <f aca="false">SUM(#REF!)+SUM(#REF!)</f>
        <v>#REF!</v>
      </c>
      <c r="H44" s="19" t="e">
        <f aca="false">SUM(#REF!)+SUM(#REF!)</f>
        <v>#REF!</v>
      </c>
      <c r="I44" s="20" t="e">
        <f aca="false">#REF!</f>
        <v>#REF!</v>
      </c>
      <c r="K44" s="18" t="e">
        <f aca="false">SUM(#REF!)</f>
        <v>#REF!</v>
      </c>
      <c r="L44" s="19" t="e">
        <f aca="false">SUM(#REF!)</f>
        <v>#REF!</v>
      </c>
      <c r="M44" s="18" t="e">
        <f aca="false">SUM(#REF!)+SUM(#REF!)</f>
        <v>#REF!</v>
      </c>
      <c r="N44" s="19" t="e">
        <f aca="false">SUM(#REF!)+SUM(#REF!)</f>
        <v>#REF!</v>
      </c>
      <c r="O44" s="20" t="e">
        <f aca="false">#REF!</f>
        <v>#REF!</v>
      </c>
      <c r="Q44" s="18" t="e">
        <f aca="false">SUM(#REF!)</f>
        <v>#REF!</v>
      </c>
      <c r="R44" s="19" t="e">
        <f aca="false">SUM(#REF!)</f>
        <v>#REF!</v>
      </c>
      <c r="S44" s="18" t="e">
        <f aca="false">SUM(#REF!)+SUM(#REF!)</f>
        <v>#REF!</v>
      </c>
      <c r="T44" s="19" t="e">
        <f aca="false">SUM(#REF!)+SUM(#REF!)</f>
        <v>#REF!</v>
      </c>
      <c r="U44" s="20" t="e">
        <f aca="false">#REF!</f>
        <v>#REF!</v>
      </c>
      <c r="V44" s="4" t="n">
        <f aca="false">V43+10</f>
        <v>410</v>
      </c>
    </row>
    <row r="45" customFormat="false" ht="14.25" hidden="false" customHeight="false" outlineLevel="0" collapsed="false">
      <c r="B45" s="4" t="n">
        <v>185</v>
      </c>
      <c r="C45" s="4" t="s">
        <v>35</v>
      </c>
      <c r="D45" s="4" t="e">
        <f aca="false">#REF!</f>
        <v>#REF!</v>
      </c>
      <c r="E45" s="18" t="e">
        <f aca="false">SUM(#REF!)</f>
        <v>#REF!</v>
      </c>
      <c r="F45" s="19" t="e">
        <f aca="false">SUM(#REF!)</f>
        <v>#REF!</v>
      </c>
      <c r="G45" s="18" t="e">
        <f aca="false">SUM(#REF!)+SUM(#REF!)</f>
        <v>#REF!</v>
      </c>
      <c r="H45" s="19" t="e">
        <f aca="false">SUM(#REF!)+SUM(#REF!)</f>
        <v>#REF!</v>
      </c>
      <c r="I45" s="20" t="e">
        <f aca="false">#REF!</f>
        <v>#REF!</v>
      </c>
      <c r="K45" s="18" t="e">
        <f aca="false">SUM(#REF!)</f>
        <v>#REF!</v>
      </c>
      <c r="L45" s="19" t="e">
        <f aca="false">SUM(#REF!)</f>
        <v>#REF!</v>
      </c>
      <c r="M45" s="18" t="e">
        <f aca="false">SUM(#REF!)+SUM(#REF!)</f>
        <v>#REF!</v>
      </c>
      <c r="N45" s="19" t="e">
        <f aca="false">SUM(#REF!)+SUM(#REF!)</f>
        <v>#REF!</v>
      </c>
      <c r="O45" s="20" t="e">
        <f aca="false">#REF!</f>
        <v>#REF!</v>
      </c>
      <c r="Q45" s="18" t="e">
        <f aca="false">SUM(#REF!)</f>
        <v>#REF!</v>
      </c>
      <c r="R45" s="19" t="e">
        <f aca="false">SUM(#REF!)</f>
        <v>#REF!</v>
      </c>
      <c r="S45" s="18" t="e">
        <f aca="false">SUM(#REF!)+SUM(#REF!)</f>
        <v>#REF!</v>
      </c>
      <c r="T45" s="19" t="e">
        <f aca="false">SUM(#REF!)+SUM(#REF!)</f>
        <v>#REF!</v>
      </c>
      <c r="U45" s="20" t="e">
        <f aca="false">#REF!</f>
        <v>#REF!</v>
      </c>
      <c r="V45" s="4" t="n">
        <f aca="false">V44+10</f>
        <v>420</v>
      </c>
    </row>
    <row r="46" customFormat="false" ht="14.25" hidden="false" customHeight="false" outlineLevel="0" collapsed="false">
      <c r="B46" s="4" t="n">
        <v>189</v>
      </c>
      <c r="C46" s="4" t="s">
        <v>36</v>
      </c>
      <c r="D46" s="4" t="e">
        <f aca="false">#REF!</f>
        <v>#REF!</v>
      </c>
      <c r="E46" s="18" t="e">
        <f aca="false">SUM(#REF!)</f>
        <v>#REF!</v>
      </c>
      <c r="F46" s="19" t="e">
        <f aca="false">SUM(#REF!)</f>
        <v>#REF!</v>
      </c>
      <c r="G46" s="18" t="e">
        <f aca="false">SUM(#REF!)+SUM(#REF!)</f>
        <v>#REF!</v>
      </c>
      <c r="H46" s="19" t="e">
        <f aca="false">SUM(#REF!)+SUM(#REF!)</f>
        <v>#REF!</v>
      </c>
      <c r="I46" s="20" t="e">
        <f aca="false">#REF!</f>
        <v>#REF!</v>
      </c>
      <c r="K46" s="18" t="e">
        <f aca="false">SUM(#REF!)</f>
        <v>#REF!</v>
      </c>
      <c r="L46" s="19" t="e">
        <f aca="false">SUM(#REF!)</f>
        <v>#REF!</v>
      </c>
      <c r="M46" s="18" t="e">
        <f aca="false">SUM(#REF!)+SUM(#REF!)</f>
        <v>#REF!</v>
      </c>
      <c r="N46" s="19" t="e">
        <f aca="false">SUM(#REF!)+SUM(#REF!)</f>
        <v>#REF!</v>
      </c>
      <c r="O46" s="20" t="e">
        <f aca="false">#REF!</f>
        <v>#REF!</v>
      </c>
      <c r="Q46" s="18" t="e">
        <f aca="false">SUM(#REF!)</f>
        <v>#REF!</v>
      </c>
      <c r="R46" s="19" t="e">
        <f aca="false">SUM(#REF!)</f>
        <v>#REF!</v>
      </c>
      <c r="S46" s="18" t="e">
        <f aca="false">SUM(#REF!)+SUM(#REF!)</f>
        <v>#REF!</v>
      </c>
      <c r="T46" s="19" t="e">
        <f aca="false">SUM(#REF!)+SUM(#REF!)</f>
        <v>#REF!</v>
      </c>
      <c r="U46" s="20" t="e">
        <f aca="false">#REF!</f>
        <v>#REF!</v>
      </c>
      <c r="V46" s="4" t="n">
        <f aca="false">V45+10</f>
        <v>430</v>
      </c>
    </row>
    <row r="47" customFormat="false" ht="14.25" hidden="false" customHeight="false" outlineLevel="0" collapsed="false">
      <c r="B47" s="4" t="n">
        <v>193</v>
      </c>
      <c r="C47" s="4" t="s">
        <v>36</v>
      </c>
      <c r="D47" s="4" t="e">
        <f aca="false">#REF!</f>
        <v>#REF!</v>
      </c>
      <c r="E47" s="18" t="e">
        <f aca="false">SUM(#REF!)</f>
        <v>#REF!</v>
      </c>
      <c r="F47" s="19" t="e">
        <f aca="false">SUM(#REF!)</f>
        <v>#REF!</v>
      </c>
      <c r="G47" s="18" t="e">
        <f aca="false">SUM(#REF!)+SUM(#REF!)</f>
        <v>#REF!</v>
      </c>
      <c r="H47" s="19" t="e">
        <f aca="false">SUM(#REF!)+SUM(#REF!)</f>
        <v>#REF!</v>
      </c>
      <c r="I47" s="20" t="e">
        <f aca="false">#REF!</f>
        <v>#REF!</v>
      </c>
      <c r="K47" s="18" t="e">
        <f aca="false">SUM(#REF!)</f>
        <v>#REF!</v>
      </c>
      <c r="L47" s="19" t="e">
        <f aca="false">SUM(#REF!)</f>
        <v>#REF!</v>
      </c>
      <c r="M47" s="18" t="e">
        <f aca="false">SUM(#REF!)+SUM(#REF!)</f>
        <v>#REF!</v>
      </c>
      <c r="N47" s="19" t="e">
        <f aca="false">SUM(#REF!)+SUM(#REF!)</f>
        <v>#REF!</v>
      </c>
      <c r="O47" s="20" t="e">
        <f aca="false">#REF!</f>
        <v>#REF!</v>
      </c>
      <c r="Q47" s="18" t="e">
        <f aca="false">SUM(#REF!)</f>
        <v>#REF!</v>
      </c>
      <c r="R47" s="19" t="e">
        <f aca="false">SUM(#REF!)</f>
        <v>#REF!</v>
      </c>
      <c r="S47" s="18" t="e">
        <f aca="false">SUM(#REF!)+SUM(#REF!)</f>
        <v>#REF!</v>
      </c>
      <c r="T47" s="19" t="e">
        <f aca="false">SUM(#REF!)+SUM(#REF!)</f>
        <v>#REF!</v>
      </c>
      <c r="U47" s="20" t="e">
        <f aca="false">#REF!</f>
        <v>#REF!</v>
      </c>
      <c r="V47" s="4" t="n">
        <f aca="false">V46+10</f>
        <v>440</v>
      </c>
    </row>
    <row r="48" customFormat="false" ht="14.25" hidden="false" customHeight="false" outlineLevel="0" collapsed="false">
      <c r="B48" s="4" t="n">
        <v>197</v>
      </c>
      <c r="C48" s="4" t="s">
        <v>36</v>
      </c>
      <c r="D48" s="4" t="e">
        <f aca="false">#REF!</f>
        <v>#REF!</v>
      </c>
      <c r="E48" s="18" t="e">
        <f aca="false">SUM(#REF!)</f>
        <v>#REF!</v>
      </c>
      <c r="F48" s="19" t="e">
        <f aca="false">SUM(#REF!)</f>
        <v>#REF!</v>
      </c>
      <c r="G48" s="18" t="e">
        <f aca="false">SUM(#REF!)+SUM(#REF!)</f>
        <v>#REF!</v>
      </c>
      <c r="H48" s="19" t="e">
        <f aca="false">SUM(#REF!)+SUM(#REF!)</f>
        <v>#REF!</v>
      </c>
      <c r="I48" s="20" t="e">
        <f aca="false">#REF!</f>
        <v>#REF!</v>
      </c>
      <c r="K48" s="18" t="e">
        <f aca="false">SUM(#REF!)</f>
        <v>#REF!</v>
      </c>
      <c r="L48" s="19" t="e">
        <f aca="false">SUM(#REF!)</f>
        <v>#REF!</v>
      </c>
      <c r="M48" s="18" t="e">
        <f aca="false">SUM(#REF!)+SUM(#REF!)</f>
        <v>#REF!</v>
      </c>
      <c r="N48" s="19" t="e">
        <f aca="false">SUM(#REF!)+SUM(#REF!)</f>
        <v>#REF!</v>
      </c>
      <c r="O48" s="20" t="e">
        <f aca="false">#REF!</f>
        <v>#REF!</v>
      </c>
      <c r="Q48" s="18" t="e">
        <f aca="false">SUM(#REF!)</f>
        <v>#REF!</v>
      </c>
      <c r="R48" s="19" t="e">
        <f aca="false">SUM(#REF!)</f>
        <v>#REF!</v>
      </c>
      <c r="S48" s="18" t="e">
        <f aca="false">SUM(#REF!)+SUM(#REF!)</f>
        <v>#REF!</v>
      </c>
      <c r="T48" s="19" t="e">
        <f aca="false">SUM(#REF!)+SUM(#REF!)</f>
        <v>#REF!</v>
      </c>
      <c r="U48" s="20" t="e">
        <f aca="false">#REF!</f>
        <v>#REF!</v>
      </c>
      <c r="V48" s="4" t="n">
        <f aca="false">V47+10</f>
        <v>450</v>
      </c>
    </row>
    <row r="49" customFormat="false" ht="14.25" hidden="false" customHeight="false" outlineLevel="0" collapsed="false">
      <c r="B49" s="4" t="n">
        <v>201</v>
      </c>
      <c r="C49" s="4" t="s">
        <v>36</v>
      </c>
      <c r="D49" s="4" t="e">
        <f aca="false">#REF!</f>
        <v>#REF!</v>
      </c>
      <c r="E49" s="18" t="e">
        <f aca="false">SUM(#REF!)</f>
        <v>#REF!</v>
      </c>
      <c r="F49" s="19" t="e">
        <f aca="false">SUM(#REF!)</f>
        <v>#REF!</v>
      </c>
      <c r="G49" s="18" t="e">
        <f aca="false">SUM(#REF!)+SUM(#REF!)</f>
        <v>#REF!</v>
      </c>
      <c r="H49" s="19" t="e">
        <f aca="false">SUM(#REF!)+SUM(#REF!)</f>
        <v>#REF!</v>
      </c>
      <c r="I49" s="20" t="e">
        <f aca="false">#REF!</f>
        <v>#REF!</v>
      </c>
      <c r="K49" s="18" t="e">
        <f aca="false">SUM(#REF!)</f>
        <v>#REF!</v>
      </c>
      <c r="L49" s="19" t="e">
        <f aca="false">SUM(#REF!)</f>
        <v>#REF!</v>
      </c>
      <c r="M49" s="18" t="e">
        <f aca="false">SUM(#REF!)+SUM(#REF!)</f>
        <v>#REF!</v>
      </c>
      <c r="N49" s="19" t="e">
        <f aca="false">SUM(#REF!)+SUM(#REF!)</f>
        <v>#REF!</v>
      </c>
      <c r="O49" s="20" t="e">
        <f aca="false">#REF!</f>
        <v>#REF!</v>
      </c>
      <c r="Q49" s="18" t="e">
        <f aca="false">SUM(#REF!)</f>
        <v>#REF!</v>
      </c>
      <c r="R49" s="19" t="e">
        <f aca="false">SUM(#REF!)</f>
        <v>#REF!</v>
      </c>
      <c r="S49" s="18" t="e">
        <f aca="false">SUM(#REF!)+SUM(#REF!)</f>
        <v>#REF!</v>
      </c>
      <c r="T49" s="19" t="e">
        <f aca="false">SUM(#REF!)+SUM(#REF!)</f>
        <v>#REF!</v>
      </c>
      <c r="U49" s="20" t="e">
        <f aca="false">#REF!</f>
        <v>#REF!</v>
      </c>
      <c r="V49" s="4" t="n">
        <f aca="false">V48+10</f>
        <v>460</v>
      </c>
    </row>
    <row r="50" customFormat="false" ht="14.25" hidden="false" customHeight="false" outlineLevel="0" collapsed="false">
      <c r="B50" s="4" t="n">
        <v>205</v>
      </c>
      <c r="C50" s="4" t="s">
        <v>36</v>
      </c>
      <c r="D50" s="4" t="e">
        <f aca="false">#REF!</f>
        <v>#REF!</v>
      </c>
      <c r="E50" s="18" t="e">
        <f aca="false">SUM(#REF!)</f>
        <v>#REF!</v>
      </c>
      <c r="F50" s="19" t="e">
        <f aca="false">SUM(#REF!)</f>
        <v>#REF!</v>
      </c>
      <c r="G50" s="18" t="e">
        <f aca="false">SUM(#REF!)+SUM(#REF!)</f>
        <v>#REF!</v>
      </c>
      <c r="H50" s="19" t="e">
        <f aca="false">SUM(#REF!)+SUM(#REF!)</f>
        <v>#REF!</v>
      </c>
      <c r="I50" s="20" t="e">
        <f aca="false">#REF!</f>
        <v>#REF!</v>
      </c>
      <c r="K50" s="18" t="e">
        <f aca="false">SUM(#REF!)</f>
        <v>#REF!</v>
      </c>
      <c r="L50" s="19" t="e">
        <f aca="false">SUM(#REF!)</f>
        <v>#REF!</v>
      </c>
      <c r="M50" s="18" t="e">
        <f aca="false">SUM(#REF!)+SUM(#REF!)</f>
        <v>#REF!</v>
      </c>
      <c r="N50" s="19" t="e">
        <f aca="false">SUM(#REF!)+SUM(#REF!)</f>
        <v>#REF!</v>
      </c>
      <c r="O50" s="20" t="e">
        <f aca="false">#REF!</f>
        <v>#REF!</v>
      </c>
      <c r="Q50" s="18" t="e">
        <f aca="false">SUM(#REF!)</f>
        <v>#REF!</v>
      </c>
      <c r="R50" s="19" t="e">
        <f aca="false">SUM(#REF!)</f>
        <v>#REF!</v>
      </c>
      <c r="S50" s="18" t="e">
        <f aca="false">SUM(#REF!)+SUM(#REF!)</f>
        <v>#REF!</v>
      </c>
      <c r="T50" s="19" t="e">
        <f aca="false">SUM(#REF!)+SUM(#REF!)</f>
        <v>#REF!</v>
      </c>
      <c r="U50" s="20" t="e">
        <f aca="false">#REF!</f>
        <v>#REF!</v>
      </c>
      <c r="V50" s="4" t="n">
        <f aca="false">V49+10</f>
        <v>470</v>
      </c>
    </row>
    <row r="51" customFormat="false" ht="14.25" hidden="false" customHeight="false" outlineLevel="0" collapsed="false">
      <c r="B51" s="4" t="n">
        <v>209</v>
      </c>
      <c r="C51" s="4" t="s">
        <v>36</v>
      </c>
      <c r="D51" s="4" t="e">
        <f aca="false">#REF!</f>
        <v>#REF!</v>
      </c>
      <c r="E51" s="18" t="e">
        <f aca="false">SUM(#REF!)</f>
        <v>#REF!</v>
      </c>
      <c r="F51" s="19" t="e">
        <f aca="false">SUM(#REF!)</f>
        <v>#REF!</v>
      </c>
      <c r="G51" s="18" t="e">
        <f aca="false">SUM(#REF!)+SUM(#REF!)</f>
        <v>#REF!</v>
      </c>
      <c r="H51" s="19" t="e">
        <f aca="false">SUM(#REF!)+SUM(#REF!)</f>
        <v>#REF!</v>
      </c>
      <c r="I51" s="20" t="e">
        <f aca="false">#REF!</f>
        <v>#REF!</v>
      </c>
      <c r="K51" s="18" t="e">
        <f aca="false">SUM(#REF!)</f>
        <v>#REF!</v>
      </c>
      <c r="L51" s="19" t="e">
        <f aca="false">SUM(#REF!)</f>
        <v>#REF!</v>
      </c>
      <c r="M51" s="18" t="e">
        <f aca="false">SUM(#REF!)+SUM(#REF!)</f>
        <v>#REF!</v>
      </c>
      <c r="N51" s="19" t="e">
        <f aca="false">SUM(#REF!)+SUM(#REF!)</f>
        <v>#REF!</v>
      </c>
      <c r="O51" s="20" t="e">
        <f aca="false">#REF!</f>
        <v>#REF!</v>
      </c>
      <c r="Q51" s="18" t="e">
        <f aca="false">SUM(#REF!)</f>
        <v>#REF!</v>
      </c>
      <c r="R51" s="19" t="e">
        <f aca="false">SUM(#REF!)</f>
        <v>#REF!</v>
      </c>
      <c r="S51" s="18" t="e">
        <f aca="false">SUM(#REF!)+SUM(#REF!)</f>
        <v>#REF!</v>
      </c>
      <c r="T51" s="19" t="e">
        <f aca="false">SUM(#REF!)+SUM(#REF!)</f>
        <v>#REF!</v>
      </c>
      <c r="U51" s="20" t="e">
        <f aca="false">#REF!</f>
        <v>#REF!</v>
      </c>
      <c r="V51" s="4" t="n">
        <f aca="false">V50+10</f>
        <v>480</v>
      </c>
    </row>
    <row r="52" customFormat="false" ht="14.25" hidden="false" customHeight="false" outlineLevel="0" collapsed="false">
      <c r="B52" s="4" t="n">
        <v>213</v>
      </c>
      <c r="C52" s="4" t="s">
        <v>36</v>
      </c>
      <c r="D52" s="4" t="e">
        <f aca="false">#REF!</f>
        <v>#REF!</v>
      </c>
      <c r="E52" s="18" t="e">
        <f aca="false">SUM(#REF!)</f>
        <v>#REF!</v>
      </c>
      <c r="F52" s="19" t="e">
        <f aca="false">SUM(#REF!)</f>
        <v>#REF!</v>
      </c>
      <c r="G52" s="18" t="e">
        <f aca="false">SUM(#REF!)+SUM(#REF!)</f>
        <v>#REF!</v>
      </c>
      <c r="H52" s="19" t="e">
        <f aca="false">SUM(#REF!)+SUM(#REF!)</f>
        <v>#REF!</v>
      </c>
      <c r="I52" s="20" t="e">
        <f aca="false">#REF!</f>
        <v>#REF!</v>
      </c>
      <c r="K52" s="18" t="e">
        <f aca="false">SUM(#REF!)</f>
        <v>#REF!</v>
      </c>
      <c r="L52" s="19" t="e">
        <f aca="false">SUM(#REF!)</f>
        <v>#REF!</v>
      </c>
      <c r="M52" s="18" t="e">
        <f aca="false">SUM(#REF!)+SUM(#REF!)</f>
        <v>#REF!</v>
      </c>
      <c r="N52" s="19" t="e">
        <f aca="false">SUM(#REF!)+SUM(#REF!)</f>
        <v>#REF!</v>
      </c>
      <c r="O52" s="20" t="e">
        <f aca="false">#REF!</f>
        <v>#REF!</v>
      </c>
      <c r="Q52" s="18" t="e">
        <f aca="false">SUM(#REF!)</f>
        <v>#REF!</v>
      </c>
      <c r="R52" s="19" t="e">
        <f aca="false">SUM(#REF!)</f>
        <v>#REF!</v>
      </c>
      <c r="S52" s="18" t="e">
        <f aca="false">SUM(#REF!)+SUM(#REF!)</f>
        <v>#REF!</v>
      </c>
      <c r="T52" s="19" t="e">
        <f aca="false">SUM(#REF!)+SUM(#REF!)</f>
        <v>#REF!</v>
      </c>
      <c r="U52" s="20" t="e">
        <f aca="false">#REF!</f>
        <v>#REF!</v>
      </c>
      <c r="V52" s="4" t="n">
        <f aca="false">V51+10</f>
        <v>490</v>
      </c>
    </row>
    <row r="53" customFormat="false" ht="14.25" hidden="false" customHeight="false" outlineLevel="0" collapsed="false">
      <c r="K53" s="18"/>
      <c r="L53" s="18"/>
      <c r="M53" s="18"/>
      <c r="N53" s="18"/>
    </row>
    <row r="55" customFormat="false" ht="14.25" hidden="false" customHeight="false" outlineLevel="0" collapsed="false">
      <c r="E55" s="18"/>
      <c r="Q55" s="18"/>
    </row>
    <row r="56" customFormat="false" ht="14.25" hidden="false" customHeight="false" outlineLevel="0" collapsed="false">
      <c r="E56" s="18"/>
      <c r="F56" s="18"/>
      <c r="G56" s="18"/>
      <c r="H56" s="18"/>
      <c r="I56" s="18"/>
      <c r="O56" s="18"/>
      <c r="Q56" s="18"/>
      <c r="R56" s="18"/>
      <c r="S56" s="18"/>
      <c r="T56" s="18"/>
      <c r="U56" s="18"/>
    </row>
    <row r="57" customFormat="false" ht="14.25" hidden="false" customHeight="false" outlineLevel="0" collapsed="false">
      <c r="K57" s="18"/>
      <c r="L57" s="18"/>
      <c r="M57" s="18"/>
      <c r="N57" s="18"/>
    </row>
    <row r="60" customFormat="false" ht="14.25" hidden="false" customHeight="false" outlineLevel="0" collapsed="false">
      <c r="E60" s="18"/>
      <c r="F60" s="18"/>
      <c r="G60" s="18"/>
      <c r="H60" s="18"/>
      <c r="I60" s="18"/>
      <c r="O60" s="18"/>
      <c r="Q60" s="18"/>
      <c r="R60" s="18"/>
      <c r="S60" s="18"/>
      <c r="T60" s="18"/>
      <c r="U60" s="18"/>
    </row>
    <row r="61" customFormat="false" ht="14.25" hidden="false" customHeight="false" outlineLevel="0" collapsed="false">
      <c r="K61" s="18"/>
      <c r="L61" s="18"/>
      <c r="M61" s="18"/>
      <c r="N61" s="18"/>
    </row>
    <row r="64" customFormat="false" ht="14.25" hidden="false" customHeight="false" outlineLevel="0" collapsed="false">
      <c r="E64" s="18"/>
      <c r="F64" s="18"/>
      <c r="G64" s="18"/>
      <c r="H64" s="18"/>
      <c r="I64" s="18"/>
      <c r="O64" s="18"/>
      <c r="Q64" s="18"/>
      <c r="R64" s="18"/>
      <c r="S64" s="18"/>
      <c r="T64" s="18"/>
      <c r="U64" s="18"/>
    </row>
    <row r="65" customFormat="false" ht="14.25" hidden="false" customHeight="false" outlineLevel="0" collapsed="false">
      <c r="K65" s="18"/>
      <c r="L65" s="18"/>
      <c r="M65" s="18"/>
      <c r="N65" s="18"/>
    </row>
    <row r="68" customFormat="false" ht="14.25" hidden="false" customHeight="false" outlineLevel="0" collapsed="false">
      <c r="E68" s="18"/>
      <c r="F68" s="18"/>
      <c r="G68" s="18"/>
      <c r="H68" s="18"/>
      <c r="I68" s="18"/>
      <c r="O68" s="18"/>
      <c r="Q68" s="18"/>
      <c r="R68" s="18"/>
      <c r="S68" s="18"/>
      <c r="T68" s="18"/>
      <c r="U68" s="18"/>
    </row>
    <row r="69" customFormat="false" ht="14.25" hidden="false" customHeight="false" outlineLevel="0" collapsed="false">
      <c r="K69" s="18"/>
      <c r="L69" s="18"/>
      <c r="M69" s="18"/>
      <c r="N69" s="18"/>
    </row>
    <row r="72" customFormat="false" ht="14.25" hidden="false" customHeight="false" outlineLevel="0" collapsed="false">
      <c r="E72" s="18"/>
      <c r="F72" s="18"/>
      <c r="G72" s="18"/>
      <c r="H72" s="18"/>
      <c r="I72" s="18"/>
      <c r="O72" s="18"/>
      <c r="Q72" s="18"/>
      <c r="R72" s="18"/>
      <c r="S72" s="18"/>
      <c r="T72" s="18"/>
      <c r="U72" s="18"/>
    </row>
    <row r="73" customFormat="false" ht="14.25" hidden="false" customHeight="false" outlineLevel="0" collapsed="false">
      <c r="K73" s="18"/>
      <c r="L73" s="18"/>
      <c r="M73" s="18"/>
      <c r="N73" s="18"/>
    </row>
    <row r="75" customFormat="false" ht="14.25" hidden="false" customHeight="false" outlineLevel="0" collapsed="false">
      <c r="E75" s="18"/>
      <c r="Q75" s="18"/>
    </row>
    <row r="76" customFormat="false" ht="14.25" hidden="false" customHeight="false" outlineLevel="0" collapsed="false">
      <c r="E76" s="18"/>
      <c r="F76" s="18"/>
      <c r="G76" s="18"/>
      <c r="H76" s="18"/>
      <c r="I76" s="18"/>
      <c r="O76" s="18"/>
      <c r="Q76" s="18"/>
      <c r="R76" s="18"/>
      <c r="S76" s="18"/>
      <c r="T76" s="18"/>
      <c r="U76" s="18"/>
    </row>
    <row r="77" customFormat="false" ht="14.25" hidden="false" customHeight="false" outlineLevel="0" collapsed="false">
      <c r="K77" s="18"/>
      <c r="L77" s="18"/>
      <c r="M77" s="18"/>
      <c r="N77" s="18"/>
    </row>
    <row r="80" customFormat="false" ht="14.25" hidden="false" customHeight="false" outlineLevel="0" collapsed="false">
      <c r="E80" s="18"/>
      <c r="F80" s="18"/>
      <c r="G80" s="18"/>
      <c r="H80" s="18"/>
      <c r="I80" s="18"/>
      <c r="O80" s="18"/>
      <c r="Q80" s="18"/>
      <c r="R80" s="18"/>
      <c r="S80" s="18"/>
      <c r="T80" s="18"/>
      <c r="U80" s="18"/>
    </row>
    <row r="81" customFormat="false" ht="14.25" hidden="false" customHeight="false" outlineLevel="0" collapsed="false">
      <c r="K81" s="18"/>
      <c r="L81" s="18"/>
      <c r="M81" s="18"/>
      <c r="N81" s="18"/>
    </row>
    <row r="84" customFormat="false" ht="14.25" hidden="false" customHeight="false" outlineLevel="0" collapsed="false">
      <c r="E84" s="18"/>
      <c r="F84" s="18"/>
      <c r="G84" s="18"/>
      <c r="H84" s="18"/>
      <c r="I84" s="18"/>
      <c r="O84" s="18"/>
      <c r="Q84" s="18"/>
      <c r="R84" s="18"/>
      <c r="S84" s="18"/>
      <c r="T84" s="18"/>
      <c r="U84" s="18"/>
    </row>
    <row r="85" customFormat="false" ht="14.25" hidden="false" customHeight="false" outlineLevel="0" collapsed="false">
      <c r="K85" s="18"/>
      <c r="L85" s="18"/>
      <c r="M85" s="18"/>
      <c r="N85" s="18"/>
    </row>
    <row r="88" customFormat="false" ht="14.25" hidden="false" customHeight="false" outlineLevel="0" collapsed="false">
      <c r="E88" s="18"/>
      <c r="F88" s="18"/>
      <c r="G88" s="18"/>
      <c r="H88" s="18"/>
      <c r="I88" s="18"/>
      <c r="O88" s="18"/>
      <c r="Q88" s="18"/>
      <c r="R88" s="18"/>
      <c r="S88" s="18"/>
      <c r="T88" s="18"/>
      <c r="U88" s="18"/>
    </row>
    <row r="89" customFormat="false" ht="14.25" hidden="false" customHeight="false" outlineLevel="0" collapsed="false">
      <c r="K89" s="18"/>
      <c r="L89" s="18"/>
      <c r="M89" s="18"/>
      <c r="N89" s="18"/>
    </row>
    <row r="92" customFormat="false" ht="14.25" hidden="false" customHeight="false" outlineLevel="0" collapsed="false">
      <c r="E92" s="18"/>
      <c r="F92" s="18"/>
      <c r="G92" s="18"/>
      <c r="H92" s="18"/>
      <c r="I92" s="18"/>
      <c r="O92" s="18"/>
      <c r="Q92" s="18"/>
      <c r="R92" s="18"/>
      <c r="S92" s="18"/>
      <c r="T92" s="18"/>
      <c r="U92" s="18"/>
    </row>
    <row r="93" customFormat="false" ht="14.25" hidden="false" customHeight="false" outlineLevel="0" collapsed="false">
      <c r="K93" s="18"/>
      <c r="L93" s="18"/>
      <c r="M93" s="18"/>
      <c r="N93" s="18"/>
    </row>
    <row r="95" customFormat="false" ht="14.25" hidden="false" customHeight="false" outlineLevel="0" collapsed="false">
      <c r="E95" s="18"/>
      <c r="Q95" s="18"/>
    </row>
    <row r="96" customFormat="false" ht="14.25" hidden="false" customHeight="false" outlineLevel="0" collapsed="false">
      <c r="E96" s="18"/>
      <c r="F96" s="18"/>
      <c r="G96" s="18"/>
      <c r="H96" s="18"/>
      <c r="I96" s="18"/>
      <c r="O96" s="18"/>
      <c r="Q96" s="18"/>
      <c r="R96" s="18"/>
      <c r="S96" s="18"/>
      <c r="T96" s="18"/>
      <c r="U96" s="18"/>
    </row>
    <row r="97" customFormat="false" ht="14.25" hidden="false" customHeight="false" outlineLevel="0" collapsed="false">
      <c r="K97" s="18"/>
      <c r="L97" s="18"/>
      <c r="M97" s="18"/>
      <c r="N97" s="18"/>
    </row>
    <row r="101" customFormat="false" ht="14.25" hidden="false" customHeight="false" outlineLevel="0" collapsed="false">
      <c r="K101" s="18"/>
      <c r="L101" s="18"/>
      <c r="M101" s="18"/>
      <c r="N101" s="18"/>
    </row>
    <row r="105" customFormat="false" ht="14.25" hidden="false" customHeight="false" outlineLevel="0" collapsed="false">
      <c r="K105" s="18"/>
      <c r="L105" s="18"/>
      <c r="M105" s="18"/>
      <c r="N105" s="18"/>
    </row>
    <row r="109" customFormat="false" ht="14.25" hidden="false" customHeight="false" outlineLevel="0" collapsed="false">
      <c r="K109" s="18"/>
      <c r="L109" s="18"/>
      <c r="M109" s="18"/>
      <c r="N109" s="18"/>
    </row>
    <row r="113" customFormat="false" ht="14.25" hidden="false" customHeight="false" outlineLevel="0" collapsed="false">
      <c r="K113" s="18"/>
      <c r="L113" s="18"/>
      <c r="M113" s="18"/>
      <c r="N113" s="18"/>
    </row>
    <row r="117" customFormat="false" ht="14.25" hidden="false" customHeight="false" outlineLevel="0" collapsed="false">
      <c r="K117" s="18"/>
      <c r="L117" s="18"/>
      <c r="M117" s="18"/>
      <c r="N117" s="18"/>
    </row>
    <row r="121" customFormat="false" ht="14.25" hidden="false" customHeight="false" outlineLevel="0" collapsed="false">
      <c r="K121" s="18"/>
      <c r="L121" s="18"/>
      <c r="M121" s="18"/>
      <c r="N121" s="18"/>
    </row>
    <row r="125" customFormat="false" ht="14.25" hidden="false" customHeight="false" outlineLevel="0" collapsed="false">
      <c r="K125" s="18"/>
      <c r="L125" s="18"/>
      <c r="M125" s="18"/>
      <c r="N125" s="18"/>
    </row>
    <row r="129" customFormat="false" ht="14.25" hidden="false" customHeight="false" outlineLevel="0" collapsed="false">
      <c r="K129" s="18"/>
      <c r="L129" s="18"/>
      <c r="M129" s="18"/>
      <c r="N129" s="18"/>
    </row>
    <row r="133" customFormat="false" ht="14.25" hidden="false" customHeight="false" outlineLevel="0" collapsed="false">
      <c r="K133" s="18"/>
      <c r="L133" s="18"/>
      <c r="M133" s="18"/>
      <c r="N133" s="18"/>
    </row>
    <row r="137" customFormat="false" ht="14.25" hidden="false" customHeight="false" outlineLevel="0" collapsed="false">
      <c r="K137" s="18"/>
      <c r="L137" s="18"/>
      <c r="M137" s="18"/>
      <c r="N137" s="18"/>
    </row>
    <row r="141" customFormat="false" ht="14.25" hidden="false" customHeight="false" outlineLevel="0" collapsed="false">
      <c r="K141" s="18"/>
      <c r="L141" s="18"/>
      <c r="M141" s="18"/>
      <c r="N141" s="18"/>
    </row>
    <row r="145" customFormat="false" ht="14.25" hidden="false" customHeight="false" outlineLevel="0" collapsed="false">
      <c r="K145" s="18"/>
      <c r="L145" s="18"/>
      <c r="M145" s="18"/>
      <c r="N145" s="18"/>
    </row>
    <row r="149" customFormat="false" ht="14.25" hidden="false" customHeight="false" outlineLevel="0" collapsed="false">
      <c r="K149" s="18"/>
      <c r="L149" s="18"/>
      <c r="M149" s="18"/>
      <c r="N149" s="18"/>
    </row>
    <row r="153" customFormat="false" ht="14.25" hidden="false" customHeight="false" outlineLevel="0" collapsed="false">
      <c r="K153" s="18"/>
      <c r="L153" s="18"/>
      <c r="M153" s="18"/>
      <c r="N153" s="18"/>
    </row>
    <row r="157" customFormat="false" ht="14.25" hidden="false" customHeight="false" outlineLevel="0" collapsed="false">
      <c r="K157" s="18"/>
      <c r="L157" s="18"/>
      <c r="M157" s="18"/>
      <c r="N157" s="18"/>
    </row>
    <row r="161" customFormat="false" ht="14.25" hidden="false" customHeight="false" outlineLevel="0" collapsed="false">
      <c r="K161" s="18"/>
      <c r="L161" s="18"/>
      <c r="M161" s="18"/>
      <c r="N161" s="18"/>
    </row>
    <row r="165" customFormat="false" ht="14.25" hidden="false" customHeight="false" outlineLevel="0" collapsed="false">
      <c r="K165" s="18"/>
      <c r="L165" s="18"/>
      <c r="M165" s="18"/>
      <c r="N165" s="18"/>
    </row>
    <row r="173" customFormat="false" ht="14.25" hidden="false" customHeight="false" outlineLevel="0" collapsed="false">
      <c r="K173" s="18"/>
      <c r="L173" s="18"/>
      <c r="M173" s="18"/>
      <c r="N173" s="18"/>
    </row>
    <row r="181" customFormat="false" ht="14.25" hidden="false" customHeight="false" outlineLevel="0" collapsed="false">
      <c r="K181" s="18"/>
      <c r="L181" s="18"/>
      <c r="M181" s="18"/>
      <c r="N181" s="18"/>
    </row>
    <row r="189" customFormat="false" ht="14.25" hidden="false" customHeight="false" outlineLevel="0" collapsed="false">
      <c r="K189" s="18"/>
      <c r="L189" s="18"/>
      <c r="M189" s="18"/>
      <c r="N189" s="18"/>
    </row>
    <row r="197" customFormat="false" ht="14.25" hidden="false" customHeight="false" outlineLevel="0" collapsed="false">
      <c r="K197" s="18"/>
      <c r="L197" s="18"/>
      <c r="M197" s="18"/>
      <c r="N197" s="18"/>
    </row>
    <row r="201" customFormat="false" ht="14.25" hidden="false" customHeight="false" outlineLevel="0" collapsed="false">
      <c r="K201" s="18"/>
      <c r="L201" s="18"/>
      <c r="M201" s="18"/>
      <c r="N201" s="18"/>
    </row>
    <row r="205" customFormat="false" ht="14.25" hidden="false" customHeight="false" outlineLevel="0" collapsed="false">
      <c r="K205" s="18"/>
      <c r="L205" s="18"/>
      <c r="M205" s="18"/>
      <c r="N205" s="18"/>
    </row>
    <row r="209" customFormat="false" ht="14.25" hidden="false" customHeight="false" outlineLevel="0" collapsed="false">
      <c r="K209" s="18"/>
      <c r="L209" s="18"/>
      <c r="M209" s="18"/>
      <c r="N209" s="18"/>
    </row>
    <row r="213" customFormat="false" ht="14.25" hidden="false" customHeight="false" outlineLevel="0" collapsed="false">
      <c r="K213" s="18"/>
      <c r="L213" s="18"/>
      <c r="M213" s="18"/>
      <c r="N213" s="18"/>
    </row>
    <row r="217" customFormat="false" ht="14.25" hidden="false" customHeight="false" outlineLevel="0" collapsed="false">
      <c r="K217" s="18"/>
      <c r="L217" s="18"/>
      <c r="M217" s="18"/>
      <c r="N217" s="18"/>
    </row>
    <row r="221" customFormat="false" ht="14.25" hidden="false" customHeight="false" outlineLevel="0" collapsed="false">
      <c r="K221" s="18"/>
      <c r="L221" s="18"/>
      <c r="M221" s="18"/>
      <c r="N221" s="18"/>
    </row>
    <row r="225" customFormat="false" ht="14.25" hidden="false" customHeight="false" outlineLevel="0" collapsed="false">
      <c r="K225" s="18"/>
      <c r="L225" s="18"/>
      <c r="M225" s="18"/>
      <c r="N225" s="18"/>
    </row>
    <row r="229" customFormat="false" ht="14.25" hidden="false" customHeight="false" outlineLevel="0" collapsed="false">
      <c r="K229" s="18"/>
      <c r="L229" s="18"/>
      <c r="M229" s="18"/>
      <c r="N229" s="18"/>
    </row>
    <row r="233" customFormat="false" ht="14.25" hidden="false" customHeight="false" outlineLevel="0" collapsed="false">
      <c r="K233" s="18"/>
      <c r="L233" s="18"/>
      <c r="M233" s="18"/>
      <c r="N233" s="18"/>
    </row>
    <row r="237" customFormat="false" ht="14.25" hidden="false" customHeight="false" outlineLevel="0" collapsed="false">
      <c r="K237" s="18"/>
      <c r="L237" s="18"/>
      <c r="M237" s="18"/>
      <c r="N237" s="18"/>
    </row>
    <row r="241" customFormat="false" ht="14.25" hidden="false" customHeight="false" outlineLevel="0" collapsed="false">
      <c r="K241" s="18"/>
      <c r="L241" s="18"/>
      <c r="M241" s="18"/>
      <c r="N241" s="18"/>
    </row>
    <row r="245" customFormat="false" ht="14.25" hidden="false" customHeight="false" outlineLevel="0" collapsed="false">
      <c r="K245" s="18"/>
      <c r="L245" s="18"/>
      <c r="M245" s="18"/>
      <c r="N245" s="18"/>
    </row>
    <row r="249" customFormat="false" ht="14.25" hidden="false" customHeight="false" outlineLevel="0" collapsed="false">
      <c r="K249" s="18"/>
      <c r="L249" s="18"/>
      <c r="M249" s="18"/>
      <c r="N249" s="18"/>
    </row>
    <row r="253" customFormat="false" ht="14.25" hidden="false" customHeight="false" outlineLevel="0" collapsed="false">
      <c r="K253" s="18"/>
      <c r="L253" s="18"/>
      <c r="M253" s="18"/>
      <c r="N253" s="18"/>
    </row>
    <row r="257" customFormat="false" ht="14.25" hidden="false" customHeight="false" outlineLevel="0" collapsed="false">
      <c r="K257" s="18"/>
      <c r="L257" s="18"/>
      <c r="M257" s="18"/>
      <c r="N257" s="18"/>
    </row>
    <row r="261" customFormat="false" ht="14.25" hidden="false" customHeight="false" outlineLevel="0" collapsed="false">
      <c r="K261" s="18"/>
      <c r="L261" s="18"/>
      <c r="M261" s="18"/>
      <c r="N261" s="18"/>
    </row>
    <row r="265" customFormat="false" ht="14.25" hidden="false" customHeight="false" outlineLevel="0" collapsed="false">
      <c r="K265" s="18"/>
      <c r="L265" s="18"/>
      <c r="M265" s="18"/>
      <c r="N265" s="18"/>
    </row>
    <row r="269" customFormat="false" ht="14.25" hidden="false" customHeight="false" outlineLevel="0" collapsed="false">
      <c r="K269" s="18"/>
      <c r="L269" s="18"/>
      <c r="M269" s="18"/>
      <c r="N269" s="18"/>
    </row>
    <row r="273" customFormat="false" ht="14.25" hidden="false" customHeight="false" outlineLevel="0" collapsed="false">
      <c r="K273" s="18"/>
      <c r="L273" s="18"/>
      <c r="M273" s="18"/>
      <c r="N273" s="18"/>
    </row>
    <row r="277" customFormat="false" ht="14.25" hidden="false" customHeight="false" outlineLevel="0" collapsed="false">
      <c r="K277" s="18"/>
      <c r="L277" s="18"/>
      <c r="M277" s="18"/>
      <c r="N277" s="18"/>
    </row>
    <row r="281" customFormat="false" ht="14.25" hidden="false" customHeight="false" outlineLevel="0" collapsed="false">
      <c r="K281" s="18"/>
      <c r="L281" s="18"/>
      <c r="M281" s="18"/>
      <c r="N281" s="18"/>
    </row>
    <row r="285" customFormat="false" ht="14.25" hidden="false" customHeight="false" outlineLevel="0" collapsed="false">
      <c r="K285" s="18"/>
      <c r="L285" s="18"/>
      <c r="M285" s="18"/>
      <c r="N285" s="18"/>
    </row>
    <row r="289" customFormat="false" ht="14.25" hidden="false" customHeight="false" outlineLevel="0" collapsed="false">
      <c r="K289" s="18"/>
      <c r="L289" s="18"/>
      <c r="M289" s="18"/>
      <c r="N289" s="18"/>
    </row>
    <row r="293" customFormat="false" ht="14.25" hidden="false" customHeight="false" outlineLevel="0" collapsed="false">
      <c r="K293" s="18"/>
      <c r="L293" s="18"/>
      <c r="M293" s="18"/>
      <c r="N293" s="18"/>
    </row>
    <row r="297" customFormat="false" ht="14.25" hidden="false" customHeight="false" outlineLevel="0" collapsed="false">
      <c r="K297" s="18"/>
      <c r="L297" s="18"/>
      <c r="M297" s="18"/>
      <c r="N297" s="18"/>
    </row>
  </sheetData>
  <printOptions headings="false" gridLines="false" gridLinesSet="true" horizontalCentered="false" verticalCentered="false"/>
  <pageMargins left="0.511805555555556" right="0.511805555555556" top="0.7875" bottom="0.786805555555556" header="0.315277777777778" footer="0.315277777777778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&amp;R&amp;10 PÚBLICA&amp;1#_x005F_x000D_</oddHeader>
    <oddFooter>&amp;L&amp;1#&amp;"Trebuchet MS,Normal"&amp;9&amp;K737373PÚBLICA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32"/>
  <sheetViews>
    <sheetView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pane xSplit="1" ySplit="2" topLeftCell="B3" activePane="bottomRight" state="frozen"/>
      <selection pane="topLeft" activeCell="A1" activeCellId="0" sqref="A1"/>
      <selection pane="topRight" activeCell="B1" activeCellId="0" sqref="B1"/>
      <selection pane="bottomLeft" activeCell="A3" activeCellId="0" sqref="A3"/>
      <selection pane="bottomRight" activeCell="E3" activeCellId="0" sqref="E3"/>
    </sheetView>
  </sheetViews>
  <sheetFormatPr defaultColWidth="8.71484375" defaultRowHeight="14.25" zeroHeight="false" outlineLevelRow="0" outlineLevelCol="0"/>
  <cols>
    <col collapsed="false" customWidth="true" hidden="false" outlineLevel="0" max="1" min="1" style="4" width="37.57"/>
    <col collapsed="false" customWidth="true" hidden="false" outlineLevel="0" max="2" min="2" style="4" width="14"/>
    <col collapsed="false" customWidth="true" hidden="false" outlineLevel="0" max="3" min="3" style="4" width="13.42"/>
    <col collapsed="false" customWidth="true" hidden="false" outlineLevel="0" max="4" min="4" style="4" width="18.42"/>
    <col collapsed="false" customWidth="true" hidden="false" outlineLevel="0" max="8" min="8" style="4" width="27"/>
    <col collapsed="false" customWidth="true" hidden="false" outlineLevel="0" max="9" min="9" style="4" width="2.42"/>
  </cols>
  <sheetData>
    <row r="1" customFormat="false" ht="14.25" hidden="false" customHeight="false" outlineLevel="0" collapsed="false">
      <c r="B1" s="4" t="n">
        <v>1</v>
      </c>
      <c r="C1" s="4" t="n">
        <v>3</v>
      </c>
      <c r="D1" s="4" t="n">
        <v>2</v>
      </c>
    </row>
    <row r="2" customFormat="false" ht="14.25" hidden="false" customHeight="false" outlineLevel="0" collapsed="false">
      <c r="A2" s="4" t="s">
        <v>37</v>
      </c>
      <c r="B2" s="4" t="s">
        <v>38</v>
      </c>
      <c r="C2" s="4" t="s">
        <v>39</v>
      </c>
      <c r="D2" s="4" t="s">
        <v>40</v>
      </c>
    </row>
    <row r="3" customFormat="false" ht="14.25" hidden="false" customHeight="false" outlineLevel="0" collapsed="false">
      <c r="A3" s="4" t="s">
        <v>41</v>
      </c>
    </row>
    <row r="4" customFormat="false" ht="14.25" hidden="false" customHeight="false" outlineLevel="0" collapsed="false">
      <c r="A4" s="4" t="s">
        <v>42</v>
      </c>
      <c r="D4" s="4" t="n">
        <v>1</v>
      </c>
      <c r="E4" s="4" t="n">
        <f aca="false">SUM(B4:D4)</f>
        <v>1</v>
      </c>
      <c r="F4" s="4" t="n">
        <v>80</v>
      </c>
    </row>
    <row r="5" customFormat="false" ht="14.25" hidden="false" customHeight="false" outlineLevel="0" collapsed="false">
      <c r="A5" s="4" t="s">
        <v>43</v>
      </c>
      <c r="B5" s="4" t="n">
        <v>1</v>
      </c>
      <c r="E5" s="4" t="n">
        <f aca="false">SUM(B5:D5)</f>
        <v>1</v>
      </c>
      <c r="F5" s="4" t="n">
        <v>113</v>
      </c>
    </row>
    <row r="6" customFormat="false" ht="14.25" hidden="false" customHeight="false" outlineLevel="0" collapsed="false">
      <c r="A6" s="4" t="s">
        <v>44</v>
      </c>
      <c r="D6" s="4" t="n">
        <v>1</v>
      </c>
      <c r="E6" s="4" t="n">
        <f aca="false">SUM(B6:D6)</f>
        <v>1</v>
      </c>
      <c r="F6" s="4" t="n">
        <v>41</v>
      </c>
    </row>
    <row r="7" customFormat="false" ht="14.25" hidden="false" customHeight="false" outlineLevel="0" collapsed="false">
      <c r="A7" s="4" t="s">
        <v>45</v>
      </c>
      <c r="B7" s="4" t="n">
        <v>1</v>
      </c>
      <c r="E7" s="4" t="n">
        <f aca="false">SUM(B7:D7)</f>
        <v>1</v>
      </c>
      <c r="F7" s="4" t="n">
        <v>114</v>
      </c>
    </row>
    <row r="8" customFormat="false" ht="14.25" hidden="false" customHeight="false" outlineLevel="0" collapsed="false">
      <c r="A8" s="4" t="s">
        <v>46</v>
      </c>
      <c r="D8" s="4" t="n">
        <v>1</v>
      </c>
      <c r="E8" s="4" t="n">
        <f aca="false">SUM(B8:D8)</f>
        <v>1</v>
      </c>
      <c r="F8" s="4" t="n">
        <v>83</v>
      </c>
    </row>
    <row r="9" customFormat="false" ht="14.25" hidden="false" customHeight="false" outlineLevel="0" collapsed="false">
      <c r="A9" s="4" t="s">
        <v>47</v>
      </c>
      <c r="B9" s="4" t="n">
        <v>1</v>
      </c>
      <c r="E9" s="4" t="n">
        <f aca="false">SUM(B9:D9)</f>
        <v>1</v>
      </c>
      <c r="F9" s="4" t="n">
        <v>115</v>
      </c>
    </row>
    <row r="10" customFormat="false" ht="14.25" hidden="false" customHeight="false" outlineLevel="0" collapsed="false">
      <c r="A10" s="4" t="s">
        <v>48</v>
      </c>
      <c r="B10" s="4" t="n">
        <v>1</v>
      </c>
      <c r="E10" s="4" t="n">
        <f aca="false">SUM(B10:D10)</f>
        <v>1</v>
      </c>
      <c r="F10" s="4" t="n">
        <v>107</v>
      </c>
    </row>
    <row r="11" customFormat="false" ht="14.25" hidden="false" customHeight="false" outlineLevel="0" collapsed="false">
      <c r="A11" s="4" t="s">
        <v>49</v>
      </c>
      <c r="B11" s="4" t="n">
        <v>1</v>
      </c>
      <c r="E11" s="4" t="n">
        <f aca="false">SUM(B11:D11)</f>
        <v>1</v>
      </c>
      <c r="F11" s="4" t="n">
        <v>84</v>
      </c>
    </row>
    <row r="12" customFormat="false" ht="14.25" hidden="false" customHeight="false" outlineLevel="0" collapsed="false">
      <c r="A12" s="4" t="s">
        <v>50</v>
      </c>
      <c r="D12" s="4" t="n">
        <v>1</v>
      </c>
      <c r="E12" s="4" t="n">
        <f aca="false">SUM(B12:D12)</f>
        <v>1</v>
      </c>
      <c r="F12" s="4" t="n">
        <v>27</v>
      </c>
    </row>
    <row r="13" customFormat="false" ht="14.25" hidden="false" customHeight="false" outlineLevel="0" collapsed="false">
      <c r="A13" s="4" t="s">
        <v>51</v>
      </c>
      <c r="C13" s="4" t="n">
        <v>1</v>
      </c>
      <c r="E13" s="4" t="n">
        <f aca="false">SUM(B13:D13)</f>
        <v>1</v>
      </c>
      <c r="F13" s="4" t="n">
        <v>30</v>
      </c>
    </row>
    <row r="14" customFormat="false" ht="14.25" hidden="false" customHeight="false" outlineLevel="0" collapsed="false">
      <c r="A14" s="4" t="s">
        <v>52</v>
      </c>
      <c r="B14" s="4" t="n">
        <v>1</v>
      </c>
      <c r="E14" s="4" t="n">
        <f aca="false">SUM(B14:D14)</f>
        <v>1</v>
      </c>
      <c r="F14" s="4" t="n">
        <v>108</v>
      </c>
    </row>
    <row r="15" customFormat="false" ht="14.25" hidden="false" customHeight="false" outlineLevel="0" collapsed="false">
      <c r="A15" s="4" t="s">
        <v>53</v>
      </c>
      <c r="B15" s="4" t="n">
        <v>1</v>
      </c>
      <c r="E15" s="4" t="n">
        <f aca="false">SUM(B15:D15)</f>
        <v>1</v>
      </c>
      <c r="F15" s="4" t="n">
        <v>43</v>
      </c>
    </row>
    <row r="16" customFormat="false" ht="14.25" hidden="false" customHeight="false" outlineLevel="0" collapsed="false">
      <c r="A16" s="4" t="s">
        <v>54</v>
      </c>
      <c r="D16" s="4" t="n">
        <v>1</v>
      </c>
      <c r="E16" s="4" t="n">
        <f aca="false">SUM(B16:D16)</f>
        <v>1</v>
      </c>
      <c r="F16" s="4" t="n">
        <v>44</v>
      </c>
    </row>
    <row r="17" customFormat="false" ht="14.25" hidden="false" customHeight="false" outlineLevel="0" collapsed="false">
      <c r="A17" s="4" t="s">
        <v>55</v>
      </c>
      <c r="C17" s="4" t="n">
        <v>1</v>
      </c>
      <c r="E17" s="4" t="n">
        <f aca="false">SUM(B17:D17)</f>
        <v>1</v>
      </c>
      <c r="F17" s="4" t="n">
        <v>45</v>
      </c>
    </row>
    <row r="18" customFormat="false" ht="14.25" hidden="false" customHeight="false" outlineLevel="0" collapsed="false">
      <c r="A18" s="4" t="s">
        <v>56</v>
      </c>
      <c r="D18" s="4" t="n">
        <v>1</v>
      </c>
      <c r="E18" s="4" t="n">
        <f aca="false">SUM(B18:D18)</f>
        <v>1</v>
      </c>
      <c r="F18" s="4" t="n">
        <v>101</v>
      </c>
    </row>
    <row r="19" customFormat="false" ht="14.25" hidden="false" customHeight="false" outlineLevel="0" collapsed="false">
      <c r="A19" s="4" t="s">
        <v>57</v>
      </c>
      <c r="C19" s="4" t="n">
        <v>1</v>
      </c>
      <c r="E19" s="4" t="n">
        <f aca="false">SUM(B19:D19)</f>
        <v>1</v>
      </c>
      <c r="F19" s="4" t="n">
        <v>102</v>
      </c>
    </row>
    <row r="20" customFormat="false" ht="14.25" hidden="false" customHeight="false" outlineLevel="0" collapsed="false">
      <c r="A20" s="4" t="s">
        <v>58</v>
      </c>
      <c r="B20" s="4" t="n">
        <v>1</v>
      </c>
      <c r="E20" s="4" t="n">
        <f aca="false">SUM(B20:D20)</f>
        <v>1</v>
      </c>
      <c r="F20" s="4" t="n">
        <v>103</v>
      </c>
    </row>
    <row r="21" customFormat="false" ht="14.25" hidden="false" customHeight="false" outlineLevel="0" collapsed="false">
      <c r="A21" s="4" t="s">
        <v>59</v>
      </c>
      <c r="D21" s="4" t="n">
        <v>1</v>
      </c>
      <c r="E21" s="4" t="n">
        <f aca="false">SUM(B21:D21)</f>
        <v>1</v>
      </c>
      <c r="F21" s="4" t="n">
        <v>75</v>
      </c>
    </row>
    <row r="22" customFormat="false" ht="14.25" hidden="false" customHeight="false" outlineLevel="0" collapsed="false">
      <c r="A22" s="4" t="s">
        <v>60</v>
      </c>
      <c r="B22" s="4" t="n">
        <v>1</v>
      </c>
      <c r="E22" s="4" t="n">
        <f aca="false">SUM(B22:D22)</f>
        <v>1</v>
      </c>
      <c r="F22" s="4" t="n">
        <v>121</v>
      </c>
    </row>
    <row r="23" customFormat="false" ht="14.25" hidden="false" customHeight="false" outlineLevel="0" collapsed="false">
      <c r="A23" s="4" t="s">
        <v>61</v>
      </c>
      <c r="D23" s="4" t="n">
        <v>1</v>
      </c>
      <c r="E23" s="4" t="n">
        <f aca="false">SUM(B23:D23)</f>
        <v>1</v>
      </c>
      <c r="F23" s="4" t="n">
        <v>85</v>
      </c>
    </row>
    <row r="24" customFormat="false" ht="14.25" hidden="false" customHeight="false" outlineLevel="0" collapsed="false">
      <c r="A24" s="4" t="s">
        <v>62</v>
      </c>
      <c r="B24" s="4" t="n">
        <v>1</v>
      </c>
      <c r="E24" s="4" t="n">
        <f aca="false">SUM(B24:D24)</f>
        <v>1</v>
      </c>
      <c r="F24" s="4" t="n">
        <v>123</v>
      </c>
    </row>
    <row r="25" customFormat="false" ht="14.25" hidden="false" customHeight="false" outlineLevel="0" collapsed="false">
      <c r="A25" s="4" t="s">
        <v>63</v>
      </c>
      <c r="B25" s="4" t="n">
        <v>1</v>
      </c>
      <c r="E25" s="4" t="n">
        <f aca="false">SUM(B25:D25)</f>
        <v>1</v>
      </c>
      <c r="F25" s="4" t="n">
        <v>66</v>
      </c>
    </row>
    <row r="26" customFormat="false" ht="14.25" hidden="false" customHeight="false" outlineLevel="0" collapsed="false">
      <c r="A26" s="4" t="s">
        <v>64</v>
      </c>
      <c r="C26" s="4" t="n">
        <v>1</v>
      </c>
      <c r="E26" s="4" t="n">
        <f aca="false">SUM(B26:D26)</f>
        <v>1</v>
      </c>
      <c r="F26" s="4" t="n">
        <v>67</v>
      </c>
    </row>
    <row r="27" customFormat="false" ht="14.25" hidden="false" customHeight="false" outlineLevel="0" collapsed="false">
      <c r="A27" s="4" t="s">
        <v>65</v>
      </c>
      <c r="D27" s="4" t="n">
        <v>1</v>
      </c>
      <c r="E27" s="4" t="n">
        <f aca="false">SUM(B27:D27)</f>
        <v>1</v>
      </c>
      <c r="F27" s="4" t="n">
        <v>68</v>
      </c>
    </row>
    <row r="28" customFormat="false" ht="14.25" hidden="false" customHeight="false" outlineLevel="0" collapsed="false">
      <c r="A28" s="4" t="s">
        <v>66</v>
      </c>
      <c r="D28" s="4" t="n">
        <v>1</v>
      </c>
      <c r="E28" s="4" t="n">
        <f aca="false">SUM(B28:D28)</f>
        <v>1</v>
      </c>
      <c r="F28" s="4" t="n">
        <v>69</v>
      </c>
    </row>
    <row r="29" customFormat="false" ht="14.25" hidden="false" customHeight="false" outlineLevel="0" collapsed="false">
      <c r="A29" s="4" t="s">
        <v>67</v>
      </c>
      <c r="C29" s="4" t="n">
        <v>1</v>
      </c>
      <c r="E29" s="4" t="n">
        <f aca="false">SUM(B29:D29)</f>
        <v>1</v>
      </c>
      <c r="F29" s="4" t="n">
        <v>182</v>
      </c>
    </row>
    <row r="30" customFormat="false" ht="14.25" hidden="false" customHeight="false" outlineLevel="0" collapsed="false">
      <c r="A30" s="4" t="s">
        <v>68</v>
      </c>
      <c r="D30" s="4" t="n">
        <v>1</v>
      </c>
      <c r="E30" s="4" t="n">
        <f aca="false">SUM(B30:D30)</f>
        <v>1</v>
      </c>
      <c r="F30" s="4" t="n">
        <v>42</v>
      </c>
    </row>
    <row r="31" customFormat="false" ht="14.25" hidden="false" customHeight="false" outlineLevel="0" collapsed="false">
      <c r="A31" s="4" t="s">
        <v>69</v>
      </c>
      <c r="B31" s="4" t="n">
        <v>1</v>
      </c>
      <c r="E31" s="4" t="n">
        <f aca="false">SUM(B31:D31)</f>
        <v>1</v>
      </c>
      <c r="F31" s="4" t="n">
        <v>128</v>
      </c>
    </row>
    <row r="32" customFormat="false" ht="14.25" hidden="false" customHeight="false" outlineLevel="0" collapsed="false">
      <c r="A32" s="4" t="s">
        <v>70</v>
      </c>
      <c r="B32" s="4" t="n">
        <v>1</v>
      </c>
      <c r="E32" s="4" t="n">
        <f aca="false">SUM(B32:D32)</f>
        <v>1</v>
      </c>
      <c r="F32" s="4" t="n">
        <v>70</v>
      </c>
    </row>
  </sheetData>
  <printOptions headings="false" gridLines="false" gridLinesSet="true" horizontalCentered="false" verticalCentered="false"/>
  <pageMargins left="0.511805555555556" right="0.511805555555556" top="0.7875" bottom="0.786805555555556" header="0.315277777777778" footer="0.315277777777778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&amp;R&amp;10 PÚBLICA&amp;1#_x005F_x000D_</oddHeader>
    <oddFooter>&amp;L&amp;1#&amp;"Trebuchet MS,Normal"&amp;9&amp;K737373PÚBLICA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5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" activeCellId="0" sqref="E3"/>
    </sheetView>
  </sheetViews>
  <sheetFormatPr defaultColWidth="28.5703125" defaultRowHeight="14.25" zeroHeight="false" outlineLevelRow="0" outlineLevelCol="0"/>
  <cols>
    <col collapsed="false" customWidth="true" hidden="false" outlineLevel="0" max="1" min="1" style="4" width="7.42"/>
    <col collapsed="false" customWidth="true" hidden="false" outlineLevel="0" max="2" min="2" style="4" width="12.57"/>
    <col collapsed="false" customWidth="true" hidden="false" outlineLevel="0" max="3" min="3" style="4" width="25.57"/>
    <col collapsed="false" customWidth="true" hidden="false" outlineLevel="0" max="4" min="4" style="4" width="4.57"/>
    <col collapsed="false" customWidth="true" hidden="false" outlineLevel="0" max="5" min="5" style="4" width="33.42"/>
    <col collapsed="false" customWidth="true" hidden="false" outlineLevel="0" max="6" min="6" style="4" width="6.43"/>
  </cols>
  <sheetData>
    <row r="1" customFormat="false" ht="14.25" hidden="false" customHeight="false" outlineLevel="0" collapsed="false">
      <c r="A1" s="22" t="s">
        <v>71</v>
      </c>
      <c r="B1" s="22" t="s">
        <v>72</v>
      </c>
      <c r="C1" s="22" t="s">
        <v>73</v>
      </c>
      <c r="E1" s="22" t="s">
        <v>74</v>
      </c>
      <c r="F1" s="22" t="s">
        <v>22</v>
      </c>
    </row>
    <row r="2" customFormat="false" ht="14.25" hidden="false" customHeight="false" outlineLevel="0" collapsed="false">
      <c r="A2" s="23" t="s">
        <v>75</v>
      </c>
      <c r="B2" s="23" t="n">
        <v>90003</v>
      </c>
      <c r="C2" s="23" t="s">
        <v>76</v>
      </c>
      <c r="E2" s="4" t="s">
        <v>77</v>
      </c>
      <c r="F2" s="4" t="s">
        <v>75</v>
      </c>
    </row>
    <row r="3" customFormat="false" ht="14.25" hidden="false" customHeight="false" outlineLevel="0" collapsed="false">
      <c r="A3" s="23" t="s">
        <v>75</v>
      </c>
      <c r="B3" s="23" t="n">
        <v>90004</v>
      </c>
      <c r="C3" s="23" t="s">
        <v>78</v>
      </c>
      <c r="E3" s="4" t="s">
        <v>79</v>
      </c>
      <c r="F3" s="4" t="s">
        <v>75</v>
      </c>
      <c r="I3" s="4" t="s">
        <v>22</v>
      </c>
    </row>
    <row r="4" customFormat="false" ht="14.25" hidden="false" customHeight="false" outlineLevel="0" collapsed="false">
      <c r="A4" s="23" t="s">
        <v>80</v>
      </c>
      <c r="B4" s="23" t="n">
        <v>18368</v>
      </c>
      <c r="C4" s="23" t="s">
        <v>81</v>
      </c>
      <c r="E4" s="4" t="s">
        <v>82</v>
      </c>
      <c r="F4" s="4" t="s">
        <v>80</v>
      </c>
      <c r="I4" s="4" t="s">
        <v>75</v>
      </c>
    </row>
    <row r="5" customFormat="false" ht="14.25" hidden="false" customHeight="false" outlineLevel="0" collapsed="false">
      <c r="A5" s="23" t="s">
        <v>83</v>
      </c>
      <c r="B5" s="23" t="n">
        <v>271706</v>
      </c>
      <c r="C5" s="23" t="s">
        <v>84</v>
      </c>
      <c r="E5" s="4" t="s">
        <v>85</v>
      </c>
      <c r="F5" s="4" t="s">
        <v>83</v>
      </c>
      <c r="I5" s="4" t="s">
        <v>28</v>
      </c>
    </row>
    <row r="6" customFormat="false" ht="14.25" hidden="false" customHeight="false" outlineLevel="0" collapsed="false">
      <c r="A6" s="23" t="s">
        <v>30</v>
      </c>
      <c r="B6" s="23" t="n">
        <v>90005</v>
      </c>
      <c r="C6" s="23" t="s">
        <v>86</v>
      </c>
      <c r="E6" s="4" t="s">
        <v>87</v>
      </c>
      <c r="F6" s="4" t="s">
        <v>30</v>
      </c>
      <c r="I6" s="4" t="s">
        <v>14</v>
      </c>
    </row>
    <row r="7" customFormat="false" ht="14.25" hidden="false" customHeight="false" outlineLevel="0" collapsed="false">
      <c r="A7" s="23" t="s">
        <v>30</v>
      </c>
      <c r="B7" s="23" t="n">
        <v>90002</v>
      </c>
      <c r="C7" s="23" t="s">
        <v>88</v>
      </c>
      <c r="E7" s="4" t="s">
        <v>89</v>
      </c>
      <c r="F7" s="4" t="s">
        <v>30</v>
      </c>
      <c r="I7" s="4" t="s">
        <v>30</v>
      </c>
    </row>
    <row r="8" customFormat="false" ht="14.25" hidden="false" customHeight="false" outlineLevel="0" collapsed="false">
      <c r="A8" s="23" t="s">
        <v>30</v>
      </c>
      <c r="B8" s="23" t="n">
        <v>27006</v>
      </c>
      <c r="C8" s="23" t="s">
        <v>90</v>
      </c>
      <c r="E8" s="4" t="s">
        <v>91</v>
      </c>
      <c r="F8" s="4" t="s">
        <v>30</v>
      </c>
      <c r="I8" s="4" t="s">
        <v>31</v>
      </c>
    </row>
    <row r="9" customFormat="false" ht="14.25" hidden="false" customHeight="false" outlineLevel="0" collapsed="false">
      <c r="A9" s="23" t="s">
        <v>33</v>
      </c>
      <c r="B9" s="23" t="n">
        <v>27165</v>
      </c>
      <c r="C9" s="23" t="s">
        <v>92</v>
      </c>
      <c r="E9" s="4" t="s">
        <v>93</v>
      </c>
      <c r="F9" s="4" t="s">
        <v>33</v>
      </c>
      <c r="I9" s="4" t="s">
        <v>32</v>
      </c>
    </row>
    <row r="10" customFormat="false" ht="14.25" hidden="false" customHeight="false" outlineLevel="0" collapsed="false">
      <c r="A10" s="23" t="s">
        <v>94</v>
      </c>
      <c r="B10" s="23" t="n">
        <v>275407</v>
      </c>
      <c r="C10" s="24" t="s">
        <v>95</v>
      </c>
      <c r="E10" s="4" t="s">
        <v>96</v>
      </c>
      <c r="F10" s="4" t="s">
        <v>94</v>
      </c>
      <c r="I10" s="4" t="s">
        <v>33</v>
      </c>
    </row>
    <row r="11" customFormat="false" ht="14.25" hidden="false" customHeight="false" outlineLevel="0" collapsed="false">
      <c r="A11" s="23" t="s">
        <v>30</v>
      </c>
      <c r="B11" s="23" t="n">
        <v>275408</v>
      </c>
      <c r="C11" s="24" t="s">
        <v>97</v>
      </c>
      <c r="E11" s="4" t="s">
        <v>98</v>
      </c>
      <c r="F11" s="4" t="s">
        <v>30</v>
      </c>
      <c r="I11" s="4" t="s">
        <v>34</v>
      </c>
    </row>
    <row r="12" customFormat="false" ht="14.25" hidden="false" customHeight="false" outlineLevel="0" collapsed="false">
      <c r="A12" s="23" t="s">
        <v>30</v>
      </c>
      <c r="B12" s="23" t="n">
        <v>275406</v>
      </c>
      <c r="C12" s="24" t="s">
        <v>99</v>
      </c>
      <c r="E12" s="4" t="s">
        <v>100</v>
      </c>
      <c r="F12" s="4" t="s">
        <v>30</v>
      </c>
      <c r="I12" s="4" t="s">
        <v>35</v>
      </c>
    </row>
    <row r="13" customFormat="false" ht="14.25" hidden="false" customHeight="false" outlineLevel="0" collapsed="false">
      <c r="A13" s="23" t="s">
        <v>28</v>
      </c>
      <c r="B13" s="23" t="n">
        <v>19581</v>
      </c>
      <c r="C13" s="23" t="s">
        <v>101</v>
      </c>
      <c r="E13" s="4" t="s">
        <v>102</v>
      </c>
      <c r="F13" s="4" t="s">
        <v>28</v>
      </c>
      <c r="I13" s="4" t="s">
        <v>36</v>
      </c>
    </row>
    <row r="14" customFormat="false" ht="14.25" hidden="false" customHeight="false" outlineLevel="0" collapsed="false">
      <c r="A14" s="23" t="s">
        <v>28</v>
      </c>
      <c r="B14" s="23" t="n">
        <v>26983</v>
      </c>
      <c r="C14" s="23" t="s">
        <v>103</v>
      </c>
      <c r="E14" s="4" t="s">
        <v>104</v>
      </c>
      <c r="F14" s="4" t="s">
        <v>28</v>
      </c>
    </row>
    <row r="15" customFormat="false" ht="14.25" hidden="false" customHeight="false" outlineLevel="0" collapsed="false">
      <c r="A15" s="23" t="s">
        <v>28</v>
      </c>
      <c r="B15" s="23" t="n">
        <v>26987</v>
      </c>
      <c r="C15" s="23" t="s">
        <v>105</v>
      </c>
      <c r="E15" s="4" t="s">
        <v>106</v>
      </c>
      <c r="F15" s="4" t="s">
        <v>28</v>
      </c>
    </row>
    <row r="16" customFormat="false" ht="14.25" hidden="false" customHeight="false" outlineLevel="0" collapsed="false">
      <c r="A16" s="23" t="s">
        <v>28</v>
      </c>
      <c r="B16" s="23" t="n">
        <v>271704</v>
      </c>
      <c r="C16" s="23" t="s">
        <v>107</v>
      </c>
      <c r="E16" s="4" t="s">
        <v>108</v>
      </c>
      <c r="F16" s="4" t="s">
        <v>28</v>
      </c>
    </row>
    <row r="17" customFormat="false" ht="14.25" hidden="false" customHeight="false" outlineLevel="0" collapsed="false">
      <c r="A17" s="23" t="s">
        <v>14</v>
      </c>
      <c r="B17" s="23" t="n">
        <v>26989</v>
      </c>
      <c r="C17" s="23" t="s">
        <v>109</v>
      </c>
      <c r="E17" s="4" t="s">
        <v>110</v>
      </c>
      <c r="F17" s="4" t="s">
        <v>14</v>
      </c>
    </row>
    <row r="18" customFormat="false" ht="14.25" hidden="false" customHeight="false" outlineLevel="0" collapsed="false">
      <c r="A18" s="23" t="s">
        <v>14</v>
      </c>
      <c r="B18" s="23" t="n">
        <v>26990</v>
      </c>
      <c r="C18" s="23" t="s">
        <v>18</v>
      </c>
      <c r="E18" s="4" t="s">
        <v>111</v>
      </c>
      <c r="F18" s="4" t="s">
        <v>14</v>
      </c>
    </row>
    <row r="19" customFormat="false" ht="14.25" hidden="false" customHeight="false" outlineLevel="0" collapsed="false">
      <c r="A19" s="23" t="s">
        <v>14</v>
      </c>
      <c r="B19" s="23" t="n">
        <v>26992</v>
      </c>
      <c r="C19" s="23" t="s">
        <v>112</v>
      </c>
      <c r="E19" s="4" t="s">
        <v>113</v>
      </c>
      <c r="F19" s="4" t="s">
        <v>14</v>
      </c>
    </row>
    <row r="20" customFormat="false" ht="14.25" hidden="false" customHeight="false" outlineLevel="0" collapsed="false">
      <c r="A20" s="23" t="s">
        <v>14</v>
      </c>
      <c r="B20" s="23" t="n">
        <v>26993</v>
      </c>
      <c r="C20" s="23" t="s">
        <v>114</v>
      </c>
      <c r="E20" s="4" t="s">
        <v>115</v>
      </c>
      <c r="F20" s="4" t="s">
        <v>14</v>
      </c>
    </row>
    <row r="21" customFormat="false" ht="14.25" hidden="false" customHeight="false" outlineLevel="0" collapsed="false">
      <c r="A21" s="23" t="s">
        <v>14</v>
      </c>
      <c r="B21" s="23" t="n">
        <v>26995</v>
      </c>
      <c r="C21" s="23" t="s">
        <v>116</v>
      </c>
      <c r="E21" s="4" t="s">
        <v>117</v>
      </c>
      <c r="F21" s="4" t="s">
        <v>14</v>
      </c>
    </row>
    <row r="22" customFormat="false" ht="14.25" hidden="false" customHeight="false" outlineLevel="0" collapsed="false">
      <c r="A22" s="23" t="s">
        <v>14</v>
      </c>
      <c r="B22" s="23" t="n">
        <v>26996</v>
      </c>
      <c r="C22" s="23" t="s">
        <v>118</v>
      </c>
      <c r="E22" s="4" t="s">
        <v>119</v>
      </c>
      <c r="F22" s="4" t="s">
        <v>14</v>
      </c>
    </row>
    <row r="23" customFormat="false" ht="14.25" hidden="false" customHeight="false" outlineLevel="0" collapsed="false">
      <c r="A23" s="23" t="s">
        <v>14</v>
      </c>
      <c r="B23" s="23" t="n">
        <v>27001</v>
      </c>
      <c r="C23" s="23" t="s">
        <v>120</v>
      </c>
      <c r="E23" s="4" t="s">
        <v>121</v>
      </c>
      <c r="F23" s="4" t="s">
        <v>14</v>
      </c>
    </row>
    <row r="24" customFormat="false" ht="14.25" hidden="false" customHeight="false" outlineLevel="0" collapsed="false">
      <c r="A24" s="23" t="s">
        <v>30</v>
      </c>
      <c r="B24" s="23" t="n">
        <v>27003</v>
      </c>
      <c r="C24" s="23" t="s">
        <v>122</v>
      </c>
      <c r="E24" s="4" t="s">
        <v>123</v>
      </c>
      <c r="F24" s="4" t="s">
        <v>30</v>
      </c>
    </row>
    <row r="25" customFormat="false" ht="14.25" hidden="false" customHeight="false" outlineLevel="0" collapsed="false">
      <c r="A25" s="23" t="s">
        <v>30</v>
      </c>
      <c r="B25" s="23" t="n">
        <v>27004</v>
      </c>
      <c r="C25" s="23" t="s">
        <v>124</v>
      </c>
      <c r="E25" s="4" t="s">
        <v>125</v>
      </c>
      <c r="F25" s="4" t="s">
        <v>30</v>
      </c>
    </row>
    <row r="26" customFormat="false" ht="14.25" hidden="false" customHeight="false" outlineLevel="0" collapsed="false">
      <c r="A26" s="23" t="s">
        <v>30</v>
      </c>
      <c r="B26" s="23" t="n">
        <v>27005</v>
      </c>
      <c r="C26" s="23" t="s">
        <v>126</v>
      </c>
      <c r="E26" s="4" t="s">
        <v>127</v>
      </c>
      <c r="F26" s="4" t="s">
        <v>30</v>
      </c>
    </row>
    <row r="27" customFormat="false" ht="14.25" hidden="false" customHeight="false" outlineLevel="0" collapsed="false">
      <c r="A27" s="23" t="s">
        <v>31</v>
      </c>
      <c r="B27" s="23" t="n">
        <v>27147</v>
      </c>
      <c r="C27" s="23" t="s">
        <v>128</v>
      </c>
      <c r="E27" s="4" t="s">
        <v>129</v>
      </c>
      <c r="F27" s="4" t="s">
        <v>31</v>
      </c>
    </row>
    <row r="28" customFormat="false" ht="14.25" hidden="false" customHeight="false" outlineLevel="0" collapsed="false">
      <c r="A28" s="23" t="s">
        <v>30</v>
      </c>
      <c r="B28" s="23" t="n">
        <v>27166</v>
      </c>
      <c r="C28" s="23" t="s">
        <v>130</v>
      </c>
      <c r="E28" s="4" t="s">
        <v>131</v>
      </c>
      <c r="F28" s="4" t="s">
        <v>30</v>
      </c>
    </row>
    <row r="29" customFormat="false" ht="14.25" hidden="false" customHeight="false" outlineLevel="0" collapsed="false">
      <c r="A29" s="23" t="s">
        <v>31</v>
      </c>
      <c r="B29" s="23" t="n">
        <v>27148</v>
      </c>
      <c r="C29" s="23" t="s">
        <v>132</v>
      </c>
      <c r="E29" s="4" t="s">
        <v>133</v>
      </c>
      <c r="F29" s="4" t="s">
        <v>31</v>
      </c>
    </row>
    <row r="30" customFormat="false" ht="14.25" hidden="false" customHeight="false" outlineLevel="0" collapsed="false">
      <c r="A30" s="23" t="s">
        <v>30</v>
      </c>
      <c r="B30" s="23" t="n">
        <v>27167</v>
      </c>
      <c r="C30" s="23" t="s">
        <v>134</v>
      </c>
      <c r="E30" s="4" t="s">
        <v>135</v>
      </c>
      <c r="F30" s="4" t="s">
        <v>30</v>
      </c>
    </row>
    <row r="31" customFormat="false" ht="14.25" hidden="false" customHeight="false" outlineLevel="0" collapsed="false">
      <c r="A31" s="23" t="s">
        <v>30</v>
      </c>
      <c r="B31" s="23" t="n">
        <v>27170</v>
      </c>
      <c r="C31" s="23" t="s">
        <v>136</v>
      </c>
      <c r="E31" s="4" t="s">
        <v>137</v>
      </c>
      <c r="F31" s="4" t="s">
        <v>30</v>
      </c>
    </row>
    <row r="32" customFormat="false" ht="14.25" hidden="false" customHeight="false" outlineLevel="0" collapsed="false">
      <c r="A32" s="23" t="s">
        <v>31</v>
      </c>
      <c r="B32" s="23" t="n">
        <v>27149</v>
      </c>
      <c r="C32" s="23" t="s">
        <v>138</v>
      </c>
      <c r="E32" s="4" t="s">
        <v>139</v>
      </c>
      <c r="F32" s="4" t="s">
        <v>31</v>
      </c>
    </row>
    <row r="33" customFormat="false" ht="14.25" hidden="false" customHeight="false" outlineLevel="0" collapsed="false">
      <c r="A33" s="23" t="s">
        <v>30</v>
      </c>
      <c r="B33" s="23" t="n">
        <v>271703</v>
      </c>
      <c r="C33" s="23" t="s">
        <v>140</v>
      </c>
      <c r="E33" s="4" t="s">
        <v>141</v>
      </c>
      <c r="F33" s="4" t="s">
        <v>30</v>
      </c>
    </row>
    <row r="34" customFormat="false" ht="14.25" hidden="false" customHeight="false" outlineLevel="0" collapsed="false">
      <c r="A34" s="23" t="s">
        <v>31</v>
      </c>
      <c r="B34" s="23" t="n">
        <v>27146</v>
      </c>
      <c r="C34" s="23" t="s">
        <v>142</v>
      </c>
      <c r="E34" s="4" t="s">
        <v>143</v>
      </c>
      <c r="F34" s="4" t="s">
        <v>31</v>
      </c>
    </row>
    <row r="35" customFormat="false" ht="14.25" hidden="false" customHeight="false" outlineLevel="0" collapsed="false">
      <c r="A35" s="23" t="s">
        <v>32</v>
      </c>
      <c r="B35" s="23" t="n">
        <v>27150</v>
      </c>
      <c r="C35" s="23" t="s">
        <v>144</v>
      </c>
      <c r="E35" s="4" t="s">
        <v>145</v>
      </c>
      <c r="F35" s="4" t="s">
        <v>32</v>
      </c>
    </row>
    <row r="36" customFormat="false" ht="14.25" hidden="false" customHeight="false" outlineLevel="0" collapsed="false">
      <c r="A36" s="23" t="s">
        <v>32</v>
      </c>
      <c r="B36" s="23" t="n">
        <v>27151</v>
      </c>
      <c r="C36" s="23" t="s">
        <v>146</v>
      </c>
      <c r="E36" s="4" t="s">
        <v>147</v>
      </c>
      <c r="F36" s="4" t="s">
        <v>32</v>
      </c>
    </row>
    <row r="37" customFormat="false" ht="14.25" hidden="false" customHeight="false" outlineLevel="0" collapsed="false">
      <c r="A37" s="23" t="s">
        <v>32</v>
      </c>
      <c r="B37" s="23" t="n">
        <v>27152</v>
      </c>
      <c r="C37" s="23" t="s">
        <v>148</v>
      </c>
      <c r="E37" s="4" t="s">
        <v>149</v>
      </c>
      <c r="F37" s="4" t="s">
        <v>32</v>
      </c>
    </row>
    <row r="38" customFormat="false" ht="14.25" hidden="false" customHeight="false" outlineLevel="0" collapsed="false">
      <c r="A38" s="23" t="s">
        <v>32</v>
      </c>
      <c r="B38" s="23" t="n">
        <v>224822</v>
      </c>
      <c r="C38" s="23" t="s">
        <v>150</v>
      </c>
      <c r="E38" s="4" t="s">
        <v>151</v>
      </c>
      <c r="F38" s="4" t="s">
        <v>32</v>
      </c>
    </row>
    <row r="39" customFormat="false" ht="14.25" hidden="false" customHeight="false" outlineLevel="0" collapsed="false">
      <c r="A39" s="23" t="s">
        <v>33</v>
      </c>
      <c r="B39" s="23" t="n">
        <v>27161</v>
      </c>
      <c r="C39" s="23" t="s">
        <v>152</v>
      </c>
      <c r="E39" s="4" t="s">
        <v>153</v>
      </c>
      <c r="F39" s="4" t="s">
        <v>33</v>
      </c>
    </row>
    <row r="40" customFormat="false" ht="14.25" hidden="false" customHeight="false" outlineLevel="0" collapsed="false">
      <c r="A40" s="23" t="s">
        <v>33</v>
      </c>
      <c r="B40" s="23" t="n">
        <v>27162</v>
      </c>
      <c r="C40" s="23" t="s">
        <v>154</v>
      </c>
      <c r="E40" s="4" t="s">
        <v>155</v>
      </c>
      <c r="F40" s="4" t="s">
        <v>33</v>
      </c>
    </row>
    <row r="41" customFormat="false" ht="14.25" hidden="false" customHeight="false" outlineLevel="0" collapsed="false">
      <c r="A41" s="23" t="s">
        <v>33</v>
      </c>
      <c r="B41" s="23" t="n">
        <v>27164</v>
      </c>
      <c r="C41" s="23" t="s">
        <v>156</v>
      </c>
      <c r="E41" s="4" t="s">
        <v>157</v>
      </c>
      <c r="F41" s="4" t="s">
        <v>33</v>
      </c>
    </row>
    <row r="42" customFormat="false" ht="14.25" hidden="false" customHeight="false" outlineLevel="0" collapsed="false">
      <c r="A42" s="23" t="s">
        <v>34</v>
      </c>
      <c r="B42" s="23" t="n">
        <v>27141</v>
      </c>
      <c r="C42" s="23" t="s">
        <v>158</v>
      </c>
      <c r="E42" s="4" t="s">
        <v>159</v>
      </c>
      <c r="F42" s="4" t="s">
        <v>34</v>
      </c>
    </row>
    <row r="43" customFormat="false" ht="14.25" hidden="false" customHeight="false" outlineLevel="0" collapsed="false">
      <c r="A43" s="23" t="s">
        <v>34</v>
      </c>
      <c r="B43" s="23" t="n">
        <v>27142</v>
      </c>
      <c r="C43" s="23" t="s">
        <v>160</v>
      </c>
      <c r="E43" s="4" t="s">
        <v>161</v>
      </c>
      <c r="F43" s="4" t="s">
        <v>34</v>
      </c>
    </row>
    <row r="44" customFormat="false" ht="14.25" hidden="false" customHeight="false" outlineLevel="0" collapsed="false">
      <c r="A44" s="23" t="s">
        <v>34</v>
      </c>
      <c r="B44" s="23" t="n">
        <v>27143</v>
      </c>
      <c r="C44" s="23" t="s">
        <v>162</v>
      </c>
      <c r="E44" s="4" t="s">
        <v>163</v>
      </c>
      <c r="F44" s="4" t="s">
        <v>34</v>
      </c>
    </row>
    <row r="45" customFormat="false" ht="14.25" hidden="false" customHeight="false" outlineLevel="0" collapsed="false">
      <c r="A45" s="23" t="s">
        <v>34</v>
      </c>
      <c r="B45" s="23" t="n">
        <v>27144</v>
      </c>
      <c r="C45" s="23" t="s">
        <v>164</v>
      </c>
      <c r="E45" s="4" t="s">
        <v>165</v>
      </c>
      <c r="F45" s="4" t="s">
        <v>34</v>
      </c>
    </row>
    <row r="46" customFormat="false" ht="14.25" hidden="false" customHeight="false" outlineLevel="0" collapsed="false">
      <c r="A46" s="23" t="s">
        <v>34</v>
      </c>
      <c r="B46" s="23" t="n">
        <v>27145</v>
      </c>
      <c r="C46" s="23" t="s">
        <v>166</v>
      </c>
      <c r="E46" s="4" t="s">
        <v>167</v>
      </c>
      <c r="F46" s="4" t="s">
        <v>34</v>
      </c>
    </row>
    <row r="47" customFormat="false" ht="14.25" hidden="false" customHeight="false" outlineLevel="0" collapsed="false">
      <c r="A47" s="23" t="s">
        <v>35</v>
      </c>
      <c r="B47" s="23" t="n">
        <v>27089</v>
      </c>
      <c r="C47" s="23" t="s">
        <v>168</v>
      </c>
      <c r="E47" s="4" t="s">
        <v>169</v>
      </c>
      <c r="F47" s="4" t="s">
        <v>35</v>
      </c>
    </row>
    <row r="48" customFormat="false" ht="14.25" hidden="false" customHeight="false" outlineLevel="0" collapsed="false">
      <c r="A48" s="23" t="s">
        <v>35</v>
      </c>
      <c r="B48" s="23" t="n">
        <v>27090</v>
      </c>
      <c r="C48" s="23" t="s">
        <v>170</v>
      </c>
      <c r="E48" s="4" t="s">
        <v>171</v>
      </c>
      <c r="F48" s="4" t="s">
        <v>35</v>
      </c>
    </row>
    <row r="49" customFormat="false" ht="14.25" hidden="false" customHeight="false" outlineLevel="0" collapsed="false">
      <c r="A49" s="23" t="s">
        <v>35</v>
      </c>
      <c r="B49" s="23" t="n">
        <v>27091</v>
      </c>
      <c r="C49" s="23" t="s">
        <v>172</v>
      </c>
      <c r="E49" s="4" t="s">
        <v>173</v>
      </c>
      <c r="F49" s="4" t="s">
        <v>35</v>
      </c>
    </row>
    <row r="50" customFormat="false" ht="14.25" hidden="false" customHeight="false" outlineLevel="0" collapsed="false">
      <c r="A50" s="23" t="s">
        <v>35</v>
      </c>
      <c r="B50" s="23" t="n">
        <v>27081</v>
      </c>
      <c r="C50" s="23" t="s">
        <v>174</v>
      </c>
      <c r="E50" s="4" t="s">
        <v>175</v>
      </c>
      <c r="F50" s="4" t="s">
        <v>35</v>
      </c>
    </row>
    <row r="51" customFormat="false" ht="14.25" hidden="false" customHeight="false" outlineLevel="0" collapsed="false">
      <c r="A51" s="23" t="s">
        <v>36</v>
      </c>
      <c r="B51" s="23" t="n">
        <v>27082</v>
      </c>
      <c r="C51" s="23" t="s">
        <v>176</v>
      </c>
      <c r="E51" s="4" t="s">
        <v>177</v>
      </c>
      <c r="F51" s="4" t="s">
        <v>36</v>
      </c>
    </row>
    <row r="52" customFormat="false" ht="14.25" hidden="false" customHeight="false" outlineLevel="0" collapsed="false">
      <c r="A52" s="23" t="s">
        <v>36</v>
      </c>
      <c r="B52" s="23" t="n">
        <v>27083</v>
      </c>
      <c r="C52" s="23" t="s">
        <v>178</v>
      </c>
      <c r="E52" s="4" t="s">
        <v>179</v>
      </c>
      <c r="F52" s="4" t="s">
        <v>36</v>
      </c>
    </row>
    <row r="53" customFormat="false" ht="14.25" hidden="false" customHeight="false" outlineLevel="0" collapsed="false">
      <c r="A53" s="23" t="s">
        <v>36</v>
      </c>
      <c r="B53" s="23" t="n">
        <v>27084</v>
      </c>
      <c r="C53" s="23" t="s">
        <v>180</v>
      </c>
      <c r="E53" s="4" t="s">
        <v>181</v>
      </c>
      <c r="F53" s="4" t="s">
        <v>36</v>
      </c>
    </row>
    <row r="54" customFormat="false" ht="14.25" hidden="false" customHeight="false" outlineLevel="0" collapsed="false">
      <c r="A54" s="23" t="s">
        <v>36</v>
      </c>
      <c r="B54" s="23" t="n">
        <v>27085</v>
      </c>
      <c r="C54" s="23" t="s">
        <v>182</v>
      </c>
      <c r="E54" s="4" t="s">
        <v>183</v>
      </c>
      <c r="F54" s="4" t="s">
        <v>36</v>
      </c>
    </row>
    <row r="55" customFormat="false" ht="14.25" hidden="false" customHeight="false" outlineLevel="0" collapsed="false">
      <c r="A55" s="23" t="s">
        <v>36</v>
      </c>
      <c r="B55" s="23" t="n">
        <v>27088</v>
      </c>
      <c r="C55" s="23" t="s">
        <v>184</v>
      </c>
      <c r="E55" s="4" t="s">
        <v>185</v>
      </c>
      <c r="F55" s="4" t="s">
        <v>36</v>
      </c>
    </row>
    <row r="56" customFormat="false" ht="14.25" hidden="false" customHeight="false" outlineLevel="0" collapsed="false">
      <c r="A56" s="23" t="s">
        <v>36</v>
      </c>
      <c r="B56" s="23" t="n">
        <v>27086</v>
      </c>
      <c r="C56" s="23" t="s">
        <v>186</v>
      </c>
      <c r="E56" s="4" t="s">
        <v>187</v>
      </c>
      <c r="F56" s="4" t="s">
        <v>36</v>
      </c>
    </row>
    <row r="57" customFormat="false" ht="14.25" hidden="false" customHeight="false" outlineLevel="0" collapsed="false">
      <c r="A57" s="23" t="s">
        <v>36</v>
      </c>
      <c r="B57" s="23" t="n">
        <v>27087</v>
      </c>
      <c r="C57" s="23" t="s">
        <v>188</v>
      </c>
      <c r="E57" s="4" t="s">
        <v>189</v>
      </c>
      <c r="F57" s="4" t="s">
        <v>36</v>
      </c>
    </row>
  </sheetData>
  <printOptions headings="false" gridLines="false" gridLinesSet="true" horizontalCentered="false" verticalCentered="false"/>
  <pageMargins left="0.511805555555556" right="0.511805555555556" top="0.7875" bottom="0.786805555555556" header="0.315277777777778" footer="0.315277777777778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&amp;R&amp;10 PÚBLICA&amp;1#_x005F_x000D_</oddHeader>
    <oddFooter>&amp;L&amp;1#&amp;"Trebuchet MS,Normal"&amp;9&amp;K737373PÚBLICA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LibreOffice/24.8.0.3$Windows_X86_64 LibreOffice_project/0bdf1299c94fe897b119f97f3c613e9dca6be583</Application>
  <AppVersion>15.0000</AppVersion>
  <Company>Petrobras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2020-01-04T14:03:11Z</dcterms:created>
  <dc:creator>Gabriel Seber</dc:creator>
  <dc:description/>
  <dc:language>pt-BR</dc:language>
  <cp:lastModifiedBy/>
  <dcterms:modified xsi:type="dcterms:W3CDTF">2024-10-17T11:57:33Z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0x010100A0C64AEBC6938045854C56BA4D8C77CF</vt:lpwstr>
  </property>
  <property fmtid="{D5CDD505-2E9C-101B-9397-08002B2CF9AE}" pid="3" name="MSIP_Label_140b9f7d-8e3a-482f-9702-4b7ffc40985a_ActionId">
    <vt:lpwstr>b246fd53-2ad7-4ecd-8d4c-87bb69430665</vt:lpwstr>
  </property>
  <property fmtid="{D5CDD505-2E9C-101B-9397-08002B2CF9AE}" pid="4" name="MSIP_Label_140b9f7d-8e3a-482f-9702-4b7ffc40985a_ContentBits">
    <vt:lpwstr>2</vt:lpwstr>
  </property>
  <property fmtid="{D5CDD505-2E9C-101B-9397-08002B2CF9AE}" pid="5" name="MSIP_Label_140b9f7d-8e3a-482f-9702-4b7ffc40985a_Enabled">
    <vt:lpwstr>true</vt:lpwstr>
  </property>
  <property fmtid="{D5CDD505-2E9C-101B-9397-08002B2CF9AE}" pid="6" name="MSIP_Label_140b9f7d-8e3a-482f-9702-4b7ffc40985a_Method">
    <vt:lpwstr>Privileged</vt:lpwstr>
  </property>
  <property fmtid="{D5CDD505-2E9C-101B-9397-08002B2CF9AE}" pid="7" name="MSIP_Label_140b9f7d-8e3a-482f-9702-4b7ffc40985a_Name">
    <vt:lpwstr>Pública</vt:lpwstr>
  </property>
  <property fmtid="{D5CDD505-2E9C-101B-9397-08002B2CF9AE}" pid="8" name="MSIP_Label_140b9f7d-8e3a-482f-9702-4b7ffc40985a_SetDate">
    <vt:lpwstr>2023-10-03T20:06:15Z</vt:lpwstr>
  </property>
  <property fmtid="{D5CDD505-2E9C-101B-9397-08002B2CF9AE}" pid="9" name="MSIP_Label_140b9f7d-8e3a-482f-9702-4b7ffc40985a_SiteId">
    <vt:lpwstr>5b6f6241-9a57-4be4-8e50-1dfa72e79a57</vt:lpwstr>
  </property>
  <property fmtid="{D5CDD505-2E9C-101B-9397-08002B2CF9AE}" pid="10" name="MSIP_Label_87a91865-da3b-475c-94a1-33d2afa27ba4_ActionId">
    <vt:lpwstr>8d0d9d08-e213-47f2-8d0e-2271ca2e011f</vt:lpwstr>
  </property>
  <property fmtid="{D5CDD505-2E9C-101B-9397-08002B2CF9AE}" pid="11" name="MSIP_Label_87a91865-da3b-475c-94a1-33d2afa27ba4_ContentBits">
    <vt:lpwstr>1</vt:lpwstr>
  </property>
  <property fmtid="{D5CDD505-2E9C-101B-9397-08002B2CF9AE}" pid="12" name="MSIP_Label_87a91865-da3b-475c-94a1-33d2afa27ba4_Enabled">
    <vt:lpwstr>true</vt:lpwstr>
  </property>
  <property fmtid="{D5CDD505-2E9C-101B-9397-08002B2CF9AE}" pid="13" name="MSIP_Label_87a91865-da3b-475c-94a1-33d2afa27ba4_Method">
    <vt:lpwstr>Privileged</vt:lpwstr>
  </property>
  <property fmtid="{D5CDD505-2E9C-101B-9397-08002B2CF9AE}" pid="14" name="MSIP_Label_87a91865-da3b-475c-94a1-33d2afa27ba4_Name">
    <vt:lpwstr>Pública</vt:lpwstr>
  </property>
  <property fmtid="{D5CDD505-2E9C-101B-9397-08002B2CF9AE}" pid="15" name="MSIP_Label_87a91865-da3b-475c-94a1-33d2afa27ba4_SetDate">
    <vt:lpwstr>2023-10-27T16:32:58Z</vt:lpwstr>
  </property>
  <property fmtid="{D5CDD505-2E9C-101B-9397-08002B2CF9AE}" pid="16" name="MSIP_Label_87a91865-da3b-475c-94a1-33d2afa27ba4_SiteId">
    <vt:lpwstr>adf9b643-58ba-48b0-89ae-1706ae9a40bc</vt:lpwstr>
  </property>
  <property fmtid="{D5CDD505-2E9C-101B-9397-08002B2CF9AE}" pid="17" name="MediaServiceImageTags">
    <vt:lpwstr/>
  </property>
</Properties>
</file>